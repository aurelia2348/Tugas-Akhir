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TUGAS AKHIR SELEBEW\Code dan Data\"/>
    </mc:Choice>
  </mc:AlternateContent>
  <xr:revisionPtr revIDLastSave="0" documentId="8_{598C52B9-C01B-44B6-B83B-DE5D2F772F4C}" xr6:coauthVersionLast="47" xr6:coauthVersionMax="47" xr10:uidLastSave="{00000000-0000-0000-0000-000000000000}"/>
  <bookViews>
    <workbookView xWindow="-108" yWindow="-108" windowWidth="23256" windowHeight="12456" firstSheet="1" activeTab="7" xr2:uid="{075E8195-5725-40BA-BB35-41DED5EC3CF0}"/>
  </bookViews>
  <sheets>
    <sheet name="Data Oktober 2025" sheetId="14" r:id="rId1"/>
    <sheet name="Data November 2025" sheetId="9" r:id="rId2"/>
    <sheet name="GG1" sheetId="7" r:id="rId3"/>
    <sheet name="GG1 (2)" sheetId="11" r:id="rId4"/>
    <sheet name="GG1 (3)" sheetId="10" r:id="rId5"/>
    <sheet name="Analisis Data" sheetId="5" r:id="rId6"/>
    <sheet name="Holt-Winters Data" sheetId="13" r:id="rId7"/>
    <sheet name="BEHAVIOR" sheetId="4" r:id="rId8"/>
  </sheets>
  <definedNames>
    <definedName name="solver_adj" localSheetId="6" hidden="1">'Holt-Winters Data'!$C$3:$C$5</definedName>
    <definedName name="solver_cvg" localSheetId="6" hidden="1">0.0001</definedName>
    <definedName name="solver_drv" localSheetId="6" hidden="1">1</definedName>
    <definedName name="solver_eng" localSheetId="6" hidden="1">1</definedName>
    <definedName name="solver_est" localSheetId="6" hidden="1">1</definedName>
    <definedName name="solver_itr" localSheetId="6" hidden="1">2147483647</definedName>
    <definedName name="solver_lhs1" localSheetId="6" hidden="1">'Holt-Winters Data'!$C$3:$C$5</definedName>
    <definedName name="solver_lhs2" localSheetId="6" hidden="1">'Holt-Winters Data'!$C$3:$C$5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1</definedName>
    <definedName name="solver_nod" localSheetId="6" hidden="1">2147483647</definedName>
    <definedName name="solver_num" localSheetId="6" hidden="1">2</definedName>
    <definedName name="solver_nwt" localSheetId="6" hidden="1">1</definedName>
    <definedName name="solver_opt" localSheetId="6" hidden="1">'Holt-Winters Data'!$F$5</definedName>
    <definedName name="solver_pre" localSheetId="6" hidden="1">0.000001</definedName>
    <definedName name="solver_rbv" localSheetId="6" hidden="1">1</definedName>
    <definedName name="solver_rel1" localSheetId="6" hidden="1">1</definedName>
    <definedName name="solver_rel2" localSheetId="6" hidden="1">3</definedName>
    <definedName name="solver_rhs1" localSheetId="6" hidden="1">1</definedName>
    <definedName name="solver_rhs2" localSheetId="6" hidden="1">0</definedName>
    <definedName name="solver_rlx" localSheetId="6" hidden="1">2</definedName>
    <definedName name="solver_rsd" localSheetId="6" hidden="1">0</definedName>
    <definedName name="solver_scl" localSheetId="6" hidden="1">1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0.01</definedName>
    <definedName name="solver_typ" localSheetId="6" hidden="1">2</definedName>
    <definedName name="solver_val" localSheetId="6" hidden="1">0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2" i="7" l="1"/>
  <c r="D52" i="7"/>
  <c r="K52" i="7"/>
  <c r="F52" i="7"/>
  <c r="I52" i="7"/>
  <c r="C52" i="7"/>
  <c r="I19" i="13"/>
  <c r="H14" i="13"/>
  <c r="G14" i="13"/>
  <c r="F14" i="13"/>
  <c r="F13" i="13"/>
  <c r="C69" i="10"/>
  <c r="E60" i="10"/>
  <c r="C62" i="10"/>
  <c r="C59" i="10"/>
  <c r="I68" i="11"/>
  <c r="F69" i="11"/>
  <c r="F68" i="11"/>
  <c r="E68" i="11"/>
  <c r="C70" i="11"/>
  <c r="E70" i="11"/>
  <c r="E26" i="4"/>
  <c r="E27" i="4"/>
  <c r="E25" i="4"/>
  <c r="D7" i="7"/>
  <c r="P6" i="13"/>
  <c r="Q6" i="13" s="1"/>
  <c r="P7" i="13"/>
  <c r="Q7" i="13" s="1"/>
  <c r="P8" i="13"/>
  <c r="Q8" i="13" s="1"/>
  <c r="P9" i="13"/>
  <c r="Q9" i="13" s="1"/>
  <c r="P5" i="13"/>
  <c r="Q5" i="13" s="1"/>
  <c r="H66" i="10"/>
  <c r="AD47" i="7"/>
  <c r="AD9" i="7"/>
  <c r="C54" i="7"/>
  <c r="C71" i="11"/>
  <c r="E71" i="11"/>
  <c r="E55" i="7"/>
  <c r="G30" i="5"/>
  <c r="G32" i="5" s="1"/>
  <c r="G34" i="5" s="1"/>
  <c r="AA11" i="9"/>
  <c r="R44" i="9"/>
  <c r="R20" i="10"/>
  <c r="F62" i="10"/>
  <c r="K62" i="10" s="1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T19" i="10"/>
  <c r="V19" i="10" s="1"/>
  <c r="T22" i="10" s="1"/>
  <c r="Q22" i="10" s="1"/>
  <c r="Y18" i="10"/>
  <c r="AA18" i="10" s="1"/>
  <c r="G71" i="11"/>
  <c r="F71" i="11"/>
  <c r="K71" i="11" s="1"/>
  <c r="AE62" i="11"/>
  <c r="AE61" i="11"/>
  <c r="AE60" i="11"/>
  <c r="AE59" i="11"/>
  <c r="AE58" i="11"/>
  <c r="AE57" i="11"/>
  <c r="AE56" i="11"/>
  <c r="AE55" i="11"/>
  <c r="AE54" i="11"/>
  <c r="C54" i="11"/>
  <c r="C55" i="11" s="1"/>
  <c r="C56" i="11" s="1"/>
  <c r="AE53" i="11"/>
  <c r="AE52" i="11"/>
  <c r="AE51" i="11"/>
  <c r="AE50" i="11"/>
  <c r="AE49" i="11"/>
  <c r="AE48" i="11"/>
  <c r="AE47" i="11"/>
  <c r="AE46" i="11"/>
  <c r="AE45" i="11"/>
  <c r="AE44" i="11"/>
  <c r="C44" i="11"/>
  <c r="C45" i="11" s="1"/>
  <c r="AE43" i="11"/>
  <c r="AE42" i="11"/>
  <c r="AE41" i="11"/>
  <c r="AE40" i="11"/>
  <c r="AE39" i="11"/>
  <c r="AE38" i="11"/>
  <c r="AE37" i="11"/>
  <c r="AE36" i="11"/>
  <c r="AE35" i="11"/>
  <c r="AE34" i="11"/>
  <c r="C34" i="11"/>
  <c r="C35" i="11" s="1"/>
  <c r="C36" i="11" s="1"/>
  <c r="C37" i="11" s="1"/>
  <c r="C38" i="11" s="1"/>
  <c r="C39" i="11" s="1"/>
  <c r="C40" i="11" s="1"/>
  <c r="C41" i="11" s="1"/>
  <c r="C42" i="11" s="1"/>
  <c r="D42" i="11" s="1"/>
  <c r="AE33" i="11"/>
  <c r="I33" i="11"/>
  <c r="J33" i="11" s="1"/>
  <c r="F33" i="11"/>
  <c r="E33" i="11"/>
  <c r="AA32" i="11"/>
  <c r="AC32" i="11" s="1"/>
  <c r="T32" i="11"/>
  <c r="U32" i="11" s="1"/>
  <c r="S32" i="11"/>
  <c r="M32" i="11"/>
  <c r="N32" i="11" s="1"/>
  <c r="J32" i="11"/>
  <c r="H32" i="11"/>
  <c r="F32" i="11"/>
  <c r="E32" i="11"/>
  <c r="D32" i="11"/>
  <c r="T31" i="11"/>
  <c r="Q31" i="11" s="1"/>
  <c r="S31" i="11"/>
  <c r="R31" i="11"/>
  <c r="M31" i="11"/>
  <c r="L31" i="11" s="1"/>
  <c r="K31" i="11"/>
  <c r="J31" i="11"/>
  <c r="H31" i="11"/>
  <c r="F31" i="11"/>
  <c r="E31" i="11"/>
  <c r="D31" i="11"/>
  <c r="Q30" i="11"/>
  <c r="M30" i="11"/>
  <c r="L30" i="11" s="1"/>
  <c r="K30" i="11"/>
  <c r="J30" i="11"/>
  <c r="H30" i="11"/>
  <c r="F30" i="11"/>
  <c r="E30" i="11"/>
  <c r="D30" i="11"/>
  <c r="T29" i="11"/>
  <c r="U29" i="11" s="1"/>
  <c r="S29" i="11"/>
  <c r="R29" i="11"/>
  <c r="M29" i="11"/>
  <c r="L29" i="11" s="1"/>
  <c r="K29" i="11"/>
  <c r="J29" i="11"/>
  <c r="H29" i="11"/>
  <c r="F29" i="11"/>
  <c r="E29" i="11"/>
  <c r="D29" i="11"/>
  <c r="T28" i="11"/>
  <c r="Q28" i="11" s="1"/>
  <c r="S28" i="11"/>
  <c r="R28" i="11"/>
  <c r="M28" i="11"/>
  <c r="L28" i="11" s="1"/>
  <c r="K28" i="11"/>
  <c r="J28" i="11"/>
  <c r="H28" i="11"/>
  <c r="F28" i="11"/>
  <c r="E28" i="11"/>
  <c r="D28" i="11"/>
  <c r="T27" i="11"/>
  <c r="Q27" i="11" s="1"/>
  <c r="S27" i="11"/>
  <c r="R27" i="11"/>
  <c r="M27" i="11"/>
  <c r="N27" i="11" s="1"/>
  <c r="K27" i="11"/>
  <c r="J27" i="11"/>
  <c r="H27" i="11"/>
  <c r="F27" i="11"/>
  <c r="E27" i="11"/>
  <c r="D27" i="11"/>
  <c r="T26" i="11"/>
  <c r="U26" i="11" s="1"/>
  <c r="S26" i="11"/>
  <c r="R26" i="11"/>
  <c r="M26" i="11"/>
  <c r="N26" i="11" s="1"/>
  <c r="K26" i="11"/>
  <c r="J26" i="11"/>
  <c r="H26" i="11"/>
  <c r="F26" i="11"/>
  <c r="E26" i="11"/>
  <c r="D26" i="11"/>
  <c r="M25" i="11"/>
  <c r="L25" i="11" s="1"/>
  <c r="K25" i="11"/>
  <c r="J25" i="11"/>
  <c r="H25" i="11"/>
  <c r="F25" i="11"/>
  <c r="E25" i="11"/>
  <c r="D25" i="11"/>
  <c r="M24" i="11"/>
  <c r="N24" i="11" s="1"/>
  <c r="K24" i="11"/>
  <c r="J24" i="11"/>
  <c r="H24" i="11"/>
  <c r="F24" i="11"/>
  <c r="E24" i="11"/>
  <c r="D24" i="11"/>
  <c r="N23" i="11"/>
  <c r="K23" i="11"/>
  <c r="H23" i="11"/>
  <c r="D23" i="11"/>
  <c r="K14" i="10"/>
  <c r="I24" i="10"/>
  <c r="J24" i="10" s="1"/>
  <c r="C45" i="10"/>
  <c r="C35" i="10"/>
  <c r="C36" i="10" s="1"/>
  <c r="D23" i="10"/>
  <c r="C25" i="10"/>
  <c r="D26" i="7"/>
  <c r="E24" i="10"/>
  <c r="F24" i="10"/>
  <c r="G62" i="10"/>
  <c r="H62" i="10" s="1"/>
  <c r="M23" i="10"/>
  <c r="N23" i="10" s="1"/>
  <c r="J23" i="10"/>
  <c r="H23" i="10"/>
  <c r="F23" i="10"/>
  <c r="E23" i="10"/>
  <c r="R22" i="10"/>
  <c r="M22" i="10"/>
  <c r="L22" i="10" s="1"/>
  <c r="K22" i="10"/>
  <c r="J22" i="10"/>
  <c r="H22" i="10"/>
  <c r="F22" i="10"/>
  <c r="E22" i="10"/>
  <c r="D22" i="10"/>
  <c r="M21" i="10"/>
  <c r="N21" i="10" s="1"/>
  <c r="K21" i="10"/>
  <c r="J21" i="10"/>
  <c r="H21" i="10"/>
  <c r="F21" i="10"/>
  <c r="E21" i="10"/>
  <c r="D21" i="10"/>
  <c r="M20" i="10"/>
  <c r="L20" i="10" s="1"/>
  <c r="K20" i="10"/>
  <c r="J20" i="10"/>
  <c r="H20" i="10"/>
  <c r="F20" i="10"/>
  <c r="E20" i="10"/>
  <c r="D20" i="10"/>
  <c r="R19" i="10"/>
  <c r="M19" i="10"/>
  <c r="N19" i="10" s="1"/>
  <c r="K19" i="10"/>
  <c r="J19" i="10"/>
  <c r="H19" i="10"/>
  <c r="F19" i="10"/>
  <c r="E19" i="10"/>
  <c r="D19" i="10"/>
  <c r="R18" i="10"/>
  <c r="M18" i="10"/>
  <c r="N18" i="10" s="1"/>
  <c r="K18" i="10"/>
  <c r="J18" i="10"/>
  <c r="H18" i="10"/>
  <c r="F18" i="10"/>
  <c r="E18" i="10"/>
  <c r="D18" i="10"/>
  <c r="T17" i="10"/>
  <c r="R17" i="10"/>
  <c r="M17" i="10"/>
  <c r="N17" i="10" s="1"/>
  <c r="K17" i="10"/>
  <c r="J17" i="10"/>
  <c r="H17" i="10"/>
  <c r="F17" i="10"/>
  <c r="E17" i="10"/>
  <c r="D17" i="10"/>
  <c r="M16" i="10"/>
  <c r="N16" i="10" s="1"/>
  <c r="K16" i="10"/>
  <c r="J16" i="10"/>
  <c r="H16" i="10"/>
  <c r="F16" i="10"/>
  <c r="E16" i="10"/>
  <c r="D16" i="10"/>
  <c r="M15" i="10"/>
  <c r="N15" i="10" s="1"/>
  <c r="K15" i="10"/>
  <c r="J15" i="10"/>
  <c r="H15" i="10"/>
  <c r="F15" i="10"/>
  <c r="E15" i="10"/>
  <c r="D15" i="10"/>
  <c r="N14" i="10"/>
  <c r="H14" i="10"/>
  <c r="F59" i="10" s="1"/>
  <c r="K59" i="10" s="1"/>
  <c r="D14" i="10"/>
  <c r="G55" i="7"/>
  <c r="F55" i="7"/>
  <c r="K55" i="7" s="1"/>
  <c r="R37" i="7"/>
  <c r="R29" i="7"/>
  <c r="R26" i="7"/>
  <c r="R24" i="7"/>
  <c r="R19" i="7"/>
  <c r="R17" i="7"/>
  <c r="R15" i="7"/>
  <c r="R13" i="7"/>
  <c r="R10" i="7"/>
  <c r="Y42" i="7"/>
  <c r="Y43" i="7"/>
  <c r="Y44" i="7"/>
  <c r="Y45" i="7"/>
  <c r="Y41" i="7"/>
  <c r="Y39" i="7"/>
  <c r="Y36" i="7"/>
  <c r="Y32" i="7"/>
  <c r="Y26" i="7"/>
  <c r="Y24" i="7"/>
  <c r="Y22" i="7"/>
  <c r="Y20" i="7"/>
  <c r="Y17" i="7"/>
  <c r="Y33" i="7"/>
  <c r="Y34" i="7"/>
  <c r="Y35" i="7"/>
  <c r="Y16" i="7"/>
  <c r="R40" i="7"/>
  <c r="R41" i="7"/>
  <c r="R42" i="7"/>
  <c r="R43" i="7"/>
  <c r="R44" i="7"/>
  <c r="R45" i="7"/>
  <c r="R39" i="7"/>
  <c r="R32" i="7"/>
  <c r="R33" i="7"/>
  <c r="R34" i="7"/>
  <c r="R35" i="7"/>
  <c r="R36" i="7"/>
  <c r="R31" i="7"/>
  <c r="R20" i="7"/>
  <c r="R21" i="7"/>
  <c r="R22" i="7"/>
  <c r="R23" i="7"/>
  <c r="R16" i="7"/>
  <c r="R11" i="7"/>
  <c r="R12" i="7"/>
  <c r="K7" i="7"/>
  <c r="K45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8" i="7"/>
  <c r="T17" i="7"/>
  <c r="Q17" i="7" s="1"/>
  <c r="N7" i="7"/>
  <c r="X48" i="9"/>
  <c r="Z48" i="9" s="1"/>
  <c r="R48" i="9"/>
  <c r="P48" i="9" s="1"/>
  <c r="Q48" i="9"/>
  <c r="L48" i="9"/>
  <c r="M48" i="9" s="1"/>
  <c r="J48" i="9"/>
  <c r="G48" i="9"/>
  <c r="H48" i="9" s="1"/>
  <c r="R47" i="9"/>
  <c r="S47" i="9" s="1"/>
  <c r="Q47" i="9"/>
  <c r="L47" i="9"/>
  <c r="M47" i="9" s="1"/>
  <c r="J47" i="9"/>
  <c r="G47" i="9"/>
  <c r="H47" i="9" s="1"/>
  <c r="F47" i="9"/>
  <c r="E47" i="9"/>
  <c r="D47" i="9"/>
  <c r="R46" i="9"/>
  <c r="P46" i="9" s="1"/>
  <c r="Q46" i="9"/>
  <c r="L46" i="9"/>
  <c r="M46" i="9" s="1"/>
  <c r="J46" i="9"/>
  <c r="G46" i="9"/>
  <c r="F46" i="9" s="1"/>
  <c r="D46" i="9"/>
  <c r="R45" i="9"/>
  <c r="P45" i="9" s="1"/>
  <c r="Q45" i="9"/>
  <c r="L45" i="9"/>
  <c r="K45" i="9" s="1"/>
  <c r="J45" i="9"/>
  <c r="G45" i="9"/>
  <c r="H45" i="9" s="1"/>
  <c r="F45" i="9"/>
  <c r="D45" i="9"/>
  <c r="X44" i="9"/>
  <c r="S44" i="9"/>
  <c r="Q44" i="9"/>
  <c r="P44" i="9"/>
  <c r="L44" i="9"/>
  <c r="K44" i="9" s="1"/>
  <c r="J44" i="9"/>
  <c r="G44" i="9"/>
  <c r="E44" i="9" s="1"/>
  <c r="D44" i="9"/>
  <c r="X43" i="9"/>
  <c r="R43" i="9"/>
  <c r="S43" i="9" s="1"/>
  <c r="Q43" i="9"/>
  <c r="P43" i="9"/>
  <c r="L43" i="9"/>
  <c r="M43" i="9" s="1"/>
  <c r="K43" i="9"/>
  <c r="J43" i="9"/>
  <c r="G43" i="9"/>
  <c r="H43" i="9" s="1"/>
  <c r="D43" i="9"/>
  <c r="R42" i="9"/>
  <c r="S42" i="9" s="1"/>
  <c r="Q42" i="9"/>
  <c r="L42" i="9"/>
  <c r="M42" i="9" s="1"/>
  <c r="J42" i="9"/>
  <c r="G42" i="9"/>
  <c r="H42" i="9" s="1"/>
  <c r="F42" i="9"/>
  <c r="E42" i="9"/>
  <c r="D42" i="9"/>
  <c r="X41" i="9"/>
  <c r="Z41" i="9" s="1"/>
  <c r="R41" i="9"/>
  <c r="P41" i="9" s="1"/>
  <c r="Q41" i="9"/>
  <c r="L41" i="9"/>
  <c r="K41" i="9" s="1"/>
  <c r="J41" i="9"/>
  <c r="G41" i="9"/>
  <c r="H41" i="9" s="1"/>
  <c r="D41" i="9"/>
  <c r="P40" i="9"/>
  <c r="L40" i="9"/>
  <c r="K40" i="9" s="1"/>
  <c r="J40" i="9"/>
  <c r="G40" i="9"/>
  <c r="H40" i="9" s="1"/>
  <c r="F40" i="9"/>
  <c r="D40" i="9"/>
  <c r="R39" i="9"/>
  <c r="S39" i="9" s="1"/>
  <c r="Q39" i="9"/>
  <c r="L39" i="9"/>
  <c r="M39" i="9" s="1"/>
  <c r="J39" i="9"/>
  <c r="G39" i="9"/>
  <c r="H39" i="9" s="1"/>
  <c r="D39" i="9"/>
  <c r="X38" i="9"/>
  <c r="Z38" i="9" s="1"/>
  <c r="R38" i="9"/>
  <c r="P38" i="9" s="1"/>
  <c r="Q38" i="9"/>
  <c r="L38" i="9"/>
  <c r="K38" i="9" s="1"/>
  <c r="J38" i="9"/>
  <c r="G38" i="9"/>
  <c r="H38" i="9" s="1"/>
  <c r="F38" i="9"/>
  <c r="D38" i="9"/>
  <c r="X37" i="9"/>
  <c r="R37" i="9"/>
  <c r="S37" i="9" s="1"/>
  <c r="Q37" i="9"/>
  <c r="L37" i="9"/>
  <c r="K37" i="9" s="1"/>
  <c r="J37" i="9"/>
  <c r="G37" i="9"/>
  <c r="E37" i="9" s="1"/>
  <c r="D37" i="9"/>
  <c r="X36" i="9"/>
  <c r="R36" i="9"/>
  <c r="S36" i="9" s="1"/>
  <c r="Q36" i="9"/>
  <c r="L36" i="9"/>
  <c r="M36" i="9" s="1"/>
  <c r="J36" i="9"/>
  <c r="G36" i="9"/>
  <c r="H36" i="9" s="1"/>
  <c r="D36" i="9"/>
  <c r="X35" i="9"/>
  <c r="Z35" i="9" s="1"/>
  <c r="R35" i="9"/>
  <c r="S35" i="9" s="1"/>
  <c r="Q35" i="9"/>
  <c r="L35" i="9"/>
  <c r="M35" i="9" s="1"/>
  <c r="J35" i="9"/>
  <c r="G35" i="9"/>
  <c r="F35" i="9" s="1"/>
  <c r="D35" i="9"/>
  <c r="X34" i="9"/>
  <c r="Z34" i="9" s="1"/>
  <c r="R34" i="9"/>
  <c r="P34" i="9" s="1"/>
  <c r="Q34" i="9"/>
  <c r="L34" i="9"/>
  <c r="M34" i="9" s="1"/>
  <c r="J34" i="9"/>
  <c r="G34" i="9"/>
  <c r="E34" i="9" s="1"/>
  <c r="D34" i="9"/>
  <c r="R33" i="9"/>
  <c r="S33" i="9" s="1"/>
  <c r="Q33" i="9"/>
  <c r="L33" i="9"/>
  <c r="M33" i="9" s="1"/>
  <c r="J33" i="9"/>
  <c r="G33" i="9"/>
  <c r="F33" i="9" s="1"/>
  <c r="D33" i="9"/>
  <c r="L32" i="9"/>
  <c r="K32" i="9" s="1"/>
  <c r="J32" i="9"/>
  <c r="G32" i="9"/>
  <c r="F32" i="9" s="1"/>
  <c r="D32" i="9"/>
  <c r="R31" i="9"/>
  <c r="P31" i="9" s="1"/>
  <c r="Q31" i="9"/>
  <c r="L31" i="9"/>
  <c r="K31" i="9" s="1"/>
  <c r="J31" i="9"/>
  <c r="G31" i="9"/>
  <c r="H31" i="9" s="1"/>
  <c r="F31" i="9"/>
  <c r="D31" i="9"/>
  <c r="P30" i="9"/>
  <c r="L30" i="9"/>
  <c r="K30" i="9" s="1"/>
  <c r="J30" i="9"/>
  <c r="G30" i="9"/>
  <c r="H30" i="9" s="1"/>
  <c r="D30" i="9"/>
  <c r="P29" i="9"/>
  <c r="L29" i="9"/>
  <c r="M29" i="9" s="1"/>
  <c r="J29" i="9"/>
  <c r="G29" i="9"/>
  <c r="H29" i="9" s="1"/>
  <c r="D29" i="9"/>
  <c r="X28" i="9"/>
  <c r="Z28" i="9" s="1"/>
  <c r="R28" i="9"/>
  <c r="S28" i="9" s="1"/>
  <c r="Q28" i="9"/>
  <c r="L28" i="9"/>
  <c r="M28" i="9" s="1"/>
  <c r="J28" i="9"/>
  <c r="G28" i="9"/>
  <c r="F28" i="9" s="1"/>
  <c r="E28" i="9"/>
  <c r="D28" i="9"/>
  <c r="P27" i="9"/>
  <c r="L27" i="9"/>
  <c r="M27" i="9" s="1"/>
  <c r="J27" i="9"/>
  <c r="G27" i="9"/>
  <c r="H27" i="9" s="1"/>
  <c r="F27" i="9"/>
  <c r="D27" i="9"/>
  <c r="X26" i="9"/>
  <c r="Z26" i="9" s="1"/>
  <c r="R26" i="9"/>
  <c r="P26" i="9" s="1"/>
  <c r="Q26" i="9"/>
  <c r="L26" i="9"/>
  <c r="M26" i="9" s="1"/>
  <c r="K26" i="9"/>
  <c r="J26" i="9"/>
  <c r="G26" i="9"/>
  <c r="F26" i="9" s="1"/>
  <c r="D26" i="9"/>
  <c r="R25" i="9"/>
  <c r="S25" i="9" s="1"/>
  <c r="Q25" i="9"/>
  <c r="L25" i="9"/>
  <c r="K25" i="9" s="1"/>
  <c r="J25" i="9"/>
  <c r="G25" i="9"/>
  <c r="F25" i="9" s="1"/>
  <c r="D25" i="9"/>
  <c r="X24" i="9"/>
  <c r="Z24" i="9" s="1"/>
  <c r="W26" i="9" s="1"/>
  <c r="R24" i="9"/>
  <c r="P24" i="9" s="1"/>
  <c r="Q24" i="9"/>
  <c r="L24" i="9"/>
  <c r="M24" i="9" s="1"/>
  <c r="J24" i="9"/>
  <c r="G24" i="9"/>
  <c r="H24" i="9" s="1"/>
  <c r="D24" i="9"/>
  <c r="R23" i="9"/>
  <c r="S23" i="9" s="1"/>
  <c r="Q23" i="9"/>
  <c r="L23" i="9"/>
  <c r="M23" i="9" s="1"/>
  <c r="J23" i="9"/>
  <c r="G23" i="9"/>
  <c r="F23" i="9" s="1"/>
  <c r="D23" i="9"/>
  <c r="X22" i="9"/>
  <c r="Z22" i="9" s="1"/>
  <c r="R22" i="9"/>
  <c r="P22" i="9" s="1"/>
  <c r="Q22" i="9"/>
  <c r="L22" i="9"/>
  <c r="M22" i="9" s="1"/>
  <c r="K22" i="9"/>
  <c r="J22" i="9"/>
  <c r="H22" i="9"/>
  <c r="F22" i="9"/>
  <c r="E22" i="9"/>
  <c r="D22" i="9"/>
  <c r="R21" i="9"/>
  <c r="S21" i="9" s="1"/>
  <c r="Q21" i="9"/>
  <c r="L21" i="9"/>
  <c r="M21" i="9" s="1"/>
  <c r="J21" i="9"/>
  <c r="H21" i="9"/>
  <c r="F21" i="9"/>
  <c r="E21" i="9"/>
  <c r="D21" i="9"/>
  <c r="P20" i="9"/>
  <c r="L20" i="9"/>
  <c r="M20" i="9" s="1"/>
  <c r="J20" i="9"/>
  <c r="H20" i="9"/>
  <c r="F20" i="9"/>
  <c r="E20" i="9"/>
  <c r="D20" i="9"/>
  <c r="R19" i="9"/>
  <c r="S19" i="9" s="1"/>
  <c r="Q19" i="9"/>
  <c r="L19" i="9"/>
  <c r="M19" i="9" s="1"/>
  <c r="J19" i="9"/>
  <c r="H19" i="9"/>
  <c r="F19" i="9"/>
  <c r="E19" i="9"/>
  <c r="D19" i="9"/>
  <c r="X18" i="9"/>
  <c r="Z18" i="9" s="1"/>
  <c r="X19" i="9" s="1"/>
  <c r="Z19" i="9" s="1"/>
  <c r="R18" i="9"/>
  <c r="P18" i="9" s="1"/>
  <c r="Q18" i="9"/>
  <c r="L18" i="9"/>
  <c r="M18" i="9" s="1"/>
  <c r="J18" i="9"/>
  <c r="H18" i="9"/>
  <c r="F18" i="9"/>
  <c r="E18" i="9"/>
  <c r="D18" i="9"/>
  <c r="R17" i="9"/>
  <c r="S17" i="9" s="1"/>
  <c r="Q17" i="9"/>
  <c r="L17" i="9"/>
  <c r="K17" i="9" s="1"/>
  <c r="J17" i="9"/>
  <c r="H17" i="9"/>
  <c r="F17" i="9"/>
  <c r="E17" i="9"/>
  <c r="D17" i="9"/>
  <c r="P16" i="9"/>
  <c r="L16" i="9"/>
  <c r="M16" i="9" s="1"/>
  <c r="J16" i="9"/>
  <c r="H16" i="9"/>
  <c r="F16" i="9"/>
  <c r="E16" i="9"/>
  <c r="D16" i="9"/>
  <c r="R15" i="9"/>
  <c r="S15" i="9" s="1"/>
  <c r="Q15" i="9"/>
  <c r="L15" i="9"/>
  <c r="K15" i="9" s="1"/>
  <c r="J15" i="9"/>
  <c r="H15" i="9"/>
  <c r="F15" i="9"/>
  <c r="E15" i="9"/>
  <c r="D15" i="9"/>
  <c r="R14" i="9"/>
  <c r="S14" i="9" s="1"/>
  <c r="Q14" i="9"/>
  <c r="L14" i="9"/>
  <c r="K14" i="9" s="1"/>
  <c r="J14" i="9"/>
  <c r="H14" i="9"/>
  <c r="F14" i="9"/>
  <c r="E14" i="9"/>
  <c r="D14" i="9"/>
  <c r="R13" i="9"/>
  <c r="P13" i="9" s="1"/>
  <c r="Q13" i="9"/>
  <c r="L13" i="9"/>
  <c r="M13" i="9" s="1"/>
  <c r="K13" i="9"/>
  <c r="J13" i="9"/>
  <c r="H13" i="9"/>
  <c r="F13" i="9"/>
  <c r="E13" i="9"/>
  <c r="D13" i="9"/>
  <c r="R12" i="9"/>
  <c r="S12" i="9" s="1"/>
  <c r="Q12" i="9"/>
  <c r="L12" i="9"/>
  <c r="M12" i="9" s="1"/>
  <c r="K12" i="9"/>
  <c r="J12" i="9"/>
  <c r="H12" i="9"/>
  <c r="F12" i="9"/>
  <c r="E12" i="9"/>
  <c r="D12" i="9"/>
  <c r="L11" i="9"/>
  <c r="M11" i="9" s="1"/>
  <c r="J11" i="9"/>
  <c r="H11" i="9"/>
  <c r="F11" i="9"/>
  <c r="E11" i="9"/>
  <c r="D11" i="9"/>
  <c r="L10" i="9"/>
  <c r="M10" i="9" s="1"/>
  <c r="K10" i="9"/>
  <c r="J10" i="9"/>
  <c r="H10" i="9"/>
  <c r="F10" i="9"/>
  <c r="E10" i="9"/>
  <c r="D10" i="9"/>
  <c r="M9" i="9"/>
  <c r="H9" i="9"/>
  <c r="AC9" i="9" s="1"/>
  <c r="D9" i="9"/>
  <c r="AA46" i="7"/>
  <c r="AC46" i="7" s="1"/>
  <c r="AA42" i="7"/>
  <c r="AC42" i="7" s="1"/>
  <c r="AA41" i="7"/>
  <c r="AC41" i="7" s="1"/>
  <c r="AA39" i="7"/>
  <c r="AC39" i="7" s="1"/>
  <c r="AA36" i="7"/>
  <c r="AA35" i="7"/>
  <c r="AA34" i="7"/>
  <c r="AC34" i="7" s="1"/>
  <c r="AA33" i="7"/>
  <c r="AA32" i="7"/>
  <c r="AC32" i="7" s="1"/>
  <c r="AA26" i="7"/>
  <c r="AC26" i="7" s="1"/>
  <c r="AA24" i="7"/>
  <c r="AC24" i="7" s="1"/>
  <c r="AA22" i="7"/>
  <c r="AA20" i="7"/>
  <c r="AC20" i="7" s="1"/>
  <c r="AA16" i="7"/>
  <c r="AC16" i="7" s="1"/>
  <c r="AA17" i="7" s="1"/>
  <c r="AC17" i="7" s="1"/>
  <c r="T10" i="7"/>
  <c r="U10" i="7" s="1"/>
  <c r="T11" i="7"/>
  <c r="U11" i="7" s="1"/>
  <c r="T46" i="7"/>
  <c r="Q46" i="7" s="1"/>
  <c r="S46" i="7"/>
  <c r="M46" i="7"/>
  <c r="N46" i="7" s="1"/>
  <c r="J46" i="7"/>
  <c r="G46" i="7"/>
  <c r="F46" i="7" s="1"/>
  <c r="T45" i="7"/>
  <c r="U45" i="7" s="1"/>
  <c r="S45" i="7"/>
  <c r="M45" i="7"/>
  <c r="N45" i="7" s="1"/>
  <c r="J45" i="7"/>
  <c r="G45" i="7"/>
  <c r="E45" i="7" s="1"/>
  <c r="D45" i="7"/>
  <c r="T44" i="7"/>
  <c r="U44" i="7" s="1"/>
  <c r="S44" i="7"/>
  <c r="M44" i="7"/>
  <c r="N44" i="7" s="1"/>
  <c r="J44" i="7"/>
  <c r="G44" i="7"/>
  <c r="H44" i="7" s="1"/>
  <c r="D44" i="7"/>
  <c r="T43" i="7"/>
  <c r="Q43" i="7" s="1"/>
  <c r="S43" i="7"/>
  <c r="M43" i="7"/>
  <c r="N43" i="7" s="1"/>
  <c r="J43" i="7"/>
  <c r="G43" i="7"/>
  <c r="E43" i="7" s="1"/>
  <c r="D43" i="7"/>
  <c r="T42" i="7"/>
  <c r="U42" i="7" s="1"/>
  <c r="S42" i="7"/>
  <c r="M42" i="7"/>
  <c r="N42" i="7" s="1"/>
  <c r="J42" i="7"/>
  <c r="G42" i="7"/>
  <c r="F42" i="7" s="1"/>
  <c r="D42" i="7"/>
  <c r="T41" i="7"/>
  <c r="Q41" i="7" s="1"/>
  <c r="S41" i="7"/>
  <c r="M41" i="7"/>
  <c r="L41" i="7" s="1"/>
  <c r="J41" i="7"/>
  <c r="G41" i="7"/>
  <c r="H41" i="7" s="1"/>
  <c r="D41" i="7"/>
  <c r="T40" i="7"/>
  <c r="U40" i="7" s="1"/>
  <c r="S40" i="7"/>
  <c r="M40" i="7"/>
  <c r="N40" i="7" s="1"/>
  <c r="J40" i="7"/>
  <c r="G40" i="7"/>
  <c r="E40" i="7" s="1"/>
  <c r="D40" i="7"/>
  <c r="T39" i="7"/>
  <c r="U39" i="7" s="1"/>
  <c r="S39" i="7"/>
  <c r="M39" i="7"/>
  <c r="L39" i="7" s="1"/>
  <c r="J39" i="7"/>
  <c r="G39" i="7"/>
  <c r="E39" i="7" s="1"/>
  <c r="D39" i="7"/>
  <c r="Q38" i="7"/>
  <c r="M38" i="7"/>
  <c r="L38" i="7" s="1"/>
  <c r="J38" i="7"/>
  <c r="G38" i="7"/>
  <c r="H38" i="7" s="1"/>
  <c r="D38" i="7"/>
  <c r="T37" i="7"/>
  <c r="Q37" i="7" s="1"/>
  <c r="S37" i="7"/>
  <c r="M37" i="7"/>
  <c r="N37" i="7" s="1"/>
  <c r="J37" i="7"/>
  <c r="G37" i="7"/>
  <c r="H37" i="7" s="1"/>
  <c r="D37" i="7"/>
  <c r="T36" i="7"/>
  <c r="U36" i="7" s="1"/>
  <c r="S36" i="7"/>
  <c r="M36" i="7"/>
  <c r="N36" i="7" s="1"/>
  <c r="J36" i="7"/>
  <c r="G36" i="7"/>
  <c r="D36" i="7"/>
  <c r="T35" i="7"/>
  <c r="U35" i="7" s="1"/>
  <c r="S35" i="7"/>
  <c r="M35" i="7"/>
  <c r="L35" i="7" s="1"/>
  <c r="J35" i="7"/>
  <c r="G35" i="7"/>
  <c r="H35" i="7" s="1"/>
  <c r="D35" i="7"/>
  <c r="T34" i="7"/>
  <c r="Q34" i="7" s="1"/>
  <c r="S34" i="7"/>
  <c r="M34" i="7"/>
  <c r="N34" i="7" s="1"/>
  <c r="J34" i="7"/>
  <c r="G34" i="7"/>
  <c r="H34" i="7" s="1"/>
  <c r="D34" i="7"/>
  <c r="T33" i="7"/>
  <c r="U33" i="7" s="1"/>
  <c r="S33" i="7"/>
  <c r="M33" i="7"/>
  <c r="N33" i="7" s="1"/>
  <c r="J33" i="7"/>
  <c r="G33" i="7"/>
  <c r="D33" i="7"/>
  <c r="T32" i="7"/>
  <c r="U32" i="7" s="1"/>
  <c r="S32" i="7"/>
  <c r="M32" i="7"/>
  <c r="L32" i="7" s="1"/>
  <c r="J32" i="7"/>
  <c r="G32" i="7"/>
  <c r="H32" i="7" s="1"/>
  <c r="D32" i="7"/>
  <c r="T31" i="7"/>
  <c r="Q31" i="7" s="1"/>
  <c r="S31" i="7"/>
  <c r="M31" i="7"/>
  <c r="N31" i="7" s="1"/>
  <c r="J31" i="7"/>
  <c r="G31" i="7"/>
  <c r="H31" i="7" s="1"/>
  <c r="D31" i="7"/>
  <c r="M30" i="7"/>
  <c r="N30" i="7" s="1"/>
  <c r="J30" i="7"/>
  <c r="G30" i="7"/>
  <c r="H30" i="7" s="1"/>
  <c r="D30" i="7"/>
  <c r="T29" i="7"/>
  <c r="U29" i="7" s="1"/>
  <c r="S29" i="7"/>
  <c r="M29" i="7"/>
  <c r="N29" i="7" s="1"/>
  <c r="J29" i="7"/>
  <c r="G29" i="7"/>
  <c r="D29" i="7"/>
  <c r="Q28" i="7"/>
  <c r="M28" i="7"/>
  <c r="N28" i="7" s="1"/>
  <c r="J28" i="7"/>
  <c r="G28" i="7"/>
  <c r="E28" i="7" s="1"/>
  <c r="D28" i="7"/>
  <c r="Q27" i="7"/>
  <c r="M27" i="7"/>
  <c r="N27" i="7" s="1"/>
  <c r="J27" i="7"/>
  <c r="G27" i="7"/>
  <c r="H27" i="7" s="1"/>
  <c r="D27" i="7"/>
  <c r="T26" i="7"/>
  <c r="U26" i="7" s="1"/>
  <c r="S26" i="7"/>
  <c r="M26" i="7"/>
  <c r="N26" i="7" s="1"/>
  <c r="J26" i="7"/>
  <c r="G26" i="7"/>
  <c r="H26" i="7" s="1"/>
  <c r="Q25" i="7"/>
  <c r="M25" i="7"/>
  <c r="N25" i="7" s="1"/>
  <c r="J25" i="7"/>
  <c r="G25" i="7"/>
  <c r="H25" i="7" s="1"/>
  <c r="D25" i="7"/>
  <c r="T24" i="7"/>
  <c r="Q24" i="7" s="1"/>
  <c r="S24" i="7"/>
  <c r="M24" i="7"/>
  <c r="N24" i="7" s="1"/>
  <c r="J24" i="7"/>
  <c r="G24" i="7"/>
  <c r="E24" i="7" s="1"/>
  <c r="D24" i="7"/>
  <c r="T23" i="7"/>
  <c r="U23" i="7" s="1"/>
  <c r="S23" i="7"/>
  <c r="M23" i="7"/>
  <c r="N23" i="7" s="1"/>
  <c r="J23" i="7"/>
  <c r="G23" i="7"/>
  <c r="F23" i="7" s="1"/>
  <c r="D23" i="7"/>
  <c r="T22" i="7"/>
  <c r="Q22" i="7" s="1"/>
  <c r="S22" i="7"/>
  <c r="M22" i="7"/>
  <c r="N22" i="7" s="1"/>
  <c r="J22" i="7"/>
  <c r="G22" i="7"/>
  <c r="H22" i="7" s="1"/>
  <c r="D22" i="7"/>
  <c r="T21" i="7"/>
  <c r="U21" i="7" s="1"/>
  <c r="S21" i="7"/>
  <c r="M21" i="7"/>
  <c r="N21" i="7" s="1"/>
  <c r="J21" i="7"/>
  <c r="G21" i="7"/>
  <c r="E21" i="7" s="1"/>
  <c r="D21" i="7"/>
  <c r="T20" i="7"/>
  <c r="U20" i="7" s="1"/>
  <c r="S20" i="7"/>
  <c r="M20" i="7"/>
  <c r="N20" i="7" s="1"/>
  <c r="J20" i="7"/>
  <c r="H20" i="7"/>
  <c r="F20" i="7"/>
  <c r="E20" i="7"/>
  <c r="D20" i="7"/>
  <c r="T19" i="7"/>
  <c r="U19" i="7" s="1"/>
  <c r="S19" i="7"/>
  <c r="M19" i="7"/>
  <c r="N19" i="7" s="1"/>
  <c r="J19" i="7"/>
  <c r="H19" i="7"/>
  <c r="F19" i="7"/>
  <c r="E19" i="7"/>
  <c r="D19" i="7"/>
  <c r="Q18" i="7"/>
  <c r="M18" i="7"/>
  <c r="N18" i="7" s="1"/>
  <c r="J18" i="7"/>
  <c r="H18" i="7"/>
  <c r="F18" i="7"/>
  <c r="E18" i="7"/>
  <c r="D18" i="7"/>
  <c r="S17" i="7"/>
  <c r="M17" i="7"/>
  <c r="N17" i="7" s="1"/>
  <c r="J17" i="7"/>
  <c r="H17" i="7"/>
  <c r="F17" i="7"/>
  <c r="E17" i="7"/>
  <c r="D17" i="7"/>
  <c r="T16" i="7"/>
  <c r="U16" i="7" s="1"/>
  <c r="S16" i="7"/>
  <c r="M16" i="7"/>
  <c r="N16" i="7" s="1"/>
  <c r="J16" i="7"/>
  <c r="H16" i="7"/>
  <c r="F16" i="7"/>
  <c r="E16" i="7"/>
  <c r="D16" i="7"/>
  <c r="T15" i="7"/>
  <c r="U15" i="7" s="1"/>
  <c r="S15" i="7"/>
  <c r="M15" i="7"/>
  <c r="N15" i="7" s="1"/>
  <c r="J15" i="7"/>
  <c r="H15" i="7"/>
  <c r="F15" i="7"/>
  <c r="E15" i="7"/>
  <c r="D15" i="7"/>
  <c r="Q14" i="7"/>
  <c r="M14" i="7"/>
  <c r="L14" i="7" s="1"/>
  <c r="J14" i="7"/>
  <c r="H14" i="7"/>
  <c r="F14" i="7"/>
  <c r="E14" i="7"/>
  <c r="D14" i="7"/>
  <c r="T13" i="7"/>
  <c r="Q13" i="7" s="1"/>
  <c r="S13" i="7"/>
  <c r="M13" i="7"/>
  <c r="N13" i="7" s="1"/>
  <c r="J13" i="7"/>
  <c r="H13" i="7"/>
  <c r="F13" i="7"/>
  <c r="E13" i="7"/>
  <c r="D13" i="7"/>
  <c r="T12" i="7"/>
  <c r="Q12" i="7" s="1"/>
  <c r="S12" i="7"/>
  <c r="M12" i="7"/>
  <c r="N12" i="7" s="1"/>
  <c r="J12" i="7"/>
  <c r="H12" i="7"/>
  <c r="F12" i="7"/>
  <c r="E12" i="7"/>
  <c r="D12" i="7"/>
  <c r="S11" i="7"/>
  <c r="M11" i="7"/>
  <c r="N11" i="7" s="1"/>
  <c r="J11" i="7"/>
  <c r="H11" i="7"/>
  <c r="F11" i="7"/>
  <c r="E11" i="7"/>
  <c r="D11" i="7"/>
  <c r="S10" i="7"/>
  <c r="M10" i="7"/>
  <c r="N10" i="7" s="1"/>
  <c r="J10" i="7"/>
  <c r="H10" i="7"/>
  <c r="F10" i="7"/>
  <c r="E10" i="7"/>
  <c r="D10" i="7"/>
  <c r="M9" i="7"/>
  <c r="N9" i="7" s="1"/>
  <c r="J9" i="7"/>
  <c r="H9" i="7"/>
  <c r="F9" i="7"/>
  <c r="E9" i="7"/>
  <c r="D9" i="7"/>
  <c r="M8" i="7"/>
  <c r="N8" i="7" s="1"/>
  <c r="J8" i="7"/>
  <c r="H8" i="7"/>
  <c r="F8" i="7"/>
  <c r="E8" i="7"/>
  <c r="D8" i="7"/>
  <c r="H7" i="7"/>
  <c r="H52" i="7" l="1"/>
  <c r="H12" i="13"/>
  <c r="H10" i="13"/>
  <c r="H13" i="13"/>
  <c r="H11" i="13"/>
  <c r="H9" i="13"/>
  <c r="I14" i="13"/>
  <c r="Q10" i="13"/>
  <c r="H55" i="7"/>
  <c r="Q21" i="7"/>
  <c r="C53" i="7"/>
  <c r="I53" i="7" s="1"/>
  <c r="C55" i="7"/>
  <c r="I55" i="7" s="1"/>
  <c r="J55" i="7" s="1"/>
  <c r="I54" i="7"/>
  <c r="L32" i="11"/>
  <c r="AD25" i="11"/>
  <c r="L26" i="11"/>
  <c r="AD28" i="11"/>
  <c r="Q32" i="11"/>
  <c r="AD32" i="11" s="1"/>
  <c r="Q29" i="11"/>
  <c r="L27" i="11"/>
  <c r="P37" i="9"/>
  <c r="F30" i="9"/>
  <c r="E25" i="9"/>
  <c r="F41" i="9"/>
  <c r="P17" i="9"/>
  <c r="K36" i="9"/>
  <c r="K39" i="9"/>
  <c r="AB12" i="9"/>
  <c r="P42" i="9"/>
  <c r="AA42" i="9" s="1"/>
  <c r="M14" i="9"/>
  <c r="AB14" i="9" s="1"/>
  <c r="AC11" i="9"/>
  <c r="P12" i="9"/>
  <c r="AA12" i="9" s="1"/>
  <c r="P19" i="9"/>
  <c r="AC19" i="9" s="1"/>
  <c r="K27" i="9"/>
  <c r="K33" i="9"/>
  <c r="E35" i="9"/>
  <c r="P36" i="9"/>
  <c r="AB10" i="9"/>
  <c r="AB16" i="9"/>
  <c r="W35" i="9"/>
  <c r="S26" i="9"/>
  <c r="H28" i="9"/>
  <c r="AB28" i="9" s="1"/>
  <c r="S31" i="9"/>
  <c r="K18" i="9"/>
  <c r="E26" i="9"/>
  <c r="AB27" i="9"/>
  <c r="M17" i="9"/>
  <c r="M32" i="9"/>
  <c r="M44" i="9"/>
  <c r="S38" i="9"/>
  <c r="AA17" i="9"/>
  <c r="F37" i="9"/>
  <c r="P21" i="9"/>
  <c r="AA21" i="9" s="1"/>
  <c r="W36" i="9"/>
  <c r="P14" i="9"/>
  <c r="AC14" i="9" s="1"/>
  <c r="M15" i="9"/>
  <c r="AB15" i="9" s="1"/>
  <c r="AA22" i="9"/>
  <c r="K24" i="9"/>
  <c r="M25" i="9"/>
  <c r="W28" i="9"/>
  <c r="Z36" i="9"/>
  <c r="W37" i="9" s="1"/>
  <c r="E38" i="9"/>
  <c r="AA38" i="9" s="1"/>
  <c r="M40" i="9"/>
  <c r="AB40" i="9" s="1"/>
  <c r="AB43" i="9"/>
  <c r="F44" i="9"/>
  <c r="P33" i="9"/>
  <c r="AB36" i="9"/>
  <c r="AA18" i="9"/>
  <c r="K19" i="9"/>
  <c r="M30" i="9"/>
  <c r="AB30" i="9" s="1"/>
  <c r="P39" i="9"/>
  <c r="E41" i="9"/>
  <c r="AA41" i="9" s="1"/>
  <c r="S46" i="9"/>
  <c r="K48" i="9"/>
  <c r="AC16" i="9"/>
  <c r="P23" i="9"/>
  <c r="H26" i="9"/>
  <c r="E27" i="9"/>
  <c r="AA27" i="9" s="1"/>
  <c r="K29" i="9"/>
  <c r="E31" i="9"/>
  <c r="AA31" i="9" s="1"/>
  <c r="F34" i="9"/>
  <c r="H35" i="9"/>
  <c r="AB35" i="9" s="1"/>
  <c r="M37" i="9"/>
  <c r="AB42" i="9"/>
  <c r="E46" i="9"/>
  <c r="AB29" i="9"/>
  <c r="AB9" i="9"/>
  <c r="AB11" i="9"/>
  <c r="K16" i="9"/>
  <c r="H34" i="9"/>
  <c r="W43" i="9"/>
  <c r="H46" i="9"/>
  <c r="H25" i="9"/>
  <c r="AB21" i="9"/>
  <c r="K34" i="9"/>
  <c r="E39" i="9"/>
  <c r="S41" i="9"/>
  <c r="Z43" i="9"/>
  <c r="W44" i="9" s="1"/>
  <c r="E45" i="9"/>
  <c r="K47" i="9"/>
  <c r="S45" i="9"/>
  <c r="AA13" i="9"/>
  <c r="K46" i="9"/>
  <c r="AJ16" i="10"/>
  <c r="AJ19" i="10"/>
  <c r="AI16" i="10"/>
  <c r="AJ18" i="10"/>
  <c r="Q19" i="10"/>
  <c r="AI19" i="10" s="1"/>
  <c r="AK19" i="10" s="1"/>
  <c r="AJ21" i="10"/>
  <c r="AJ15" i="10"/>
  <c r="AK15" i="10" s="1"/>
  <c r="AJ23" i="10"/>
  <c r="G59" i="10"/>
  <c r="H59" i="10" s="1"/>
  <c r="L23" i="10"/>
  <c r="AJ14" i="10"/>
  <c r="AK14" i="10" s="1"/>
  <c r="L18" i="10"/>
  <c r="S18" i="10"/>
  <c r="Y20" i="10"/>
  <c r="V22" i="10"/>
  <c r="N25" i="11"/>
  <c r="AF25" i="11" s="1"/>
  <c r="N28" i="11"/>
  <c r="N30" i="11"/>
  <c r="AF30" i="11" s="1"/>
  <c r="U27" i="11"/>
  <c r="AE27" i="11" s="1"/>
  <c r="AD27" i="11"/>
  <c r="AD31" i="11"/>
  <c r="AE32" i="11"/>
  <c r="N31" i="11"/>
  <c r="Q26" i="11"/>
  <c r="AF26" i="11" s="1"/>
  <c r="C57" i="11"/>
  <c r="AF24" i="11"/>
  <c r="AE24" i="11"/>
  <c r="N29" i="11"/>
  <c r="AF29" i="11" s="1"/>
  <c r="AF28" i="11"/>
  <c r="C46" i="11"/>
  <c r="G68" i="11"/>
  <c r="AF23" i="11"/>
  <c r="AE23" i="11"/>
  <c r="U28" i="11"/>
  <c r="L24" i="11"/>
  <c r="G34" i="11"/>
  <c r="U31" i="11"/>
  <c r="AD29" i="11"/>
  <c r="AD30" i="11"/>
  <c r="M33" i="11"/>
  <c r="K32" i="11"/>
  <c r="AE26" i="11"/>
  <c r="H71" i="11"/>
  <c r="L16" i="10"/>
  <c r="L17" i="10"/>
  <c r="K23" i="10"/>
  <c r="G25" i="10"/>
  <c r="E25" i="10" s="1"/>
  <c r="AI21" i="10"/>
  <c r="C26" i="10"/>
  <c r="C27" i="10" s="1"/>
  <c r="C28" i="10" s="1"/>
  <c r="C29" i="10" s="1"/>
  <c r="C30" i="10" s="1"/>
  <c r="C31" i="10" s="1"/>
  <c r="C32" i="10" s="1"/>
  <c r="C33" i="10" s="1"/>
  <c r="D33" i="10" s="1"/>
  <c r="N22" i="10"/>
  <c r="AJ22" i="10" s="1"/>
  <c r="C46" i="10"/>
  <c r="L21" i="10"/>
  <c r="AI22" i="10"/>
  <c r="AI18" i="10"/>
  <c r="M24" i="10"/>
  <c r="O24" i="10" s="1"/>
  <c r="T24" i="10" s="1"/>
  <c r="C37" i="10"/>
  <c r="AI17" i="10"/>
  <c r="L19" i="10"/>
  <c r="L15" i="10"/>
  <c r="N20" i="10"/>
  <c r="AJ20" i="10" s="1"/>
  <c r="D55" i="7"/>
  <c r="D54" i="7"/>
  <c r="E54" i="7" s="1"/>
  <c r="D53" i="7"/>
  <c r="E53" i="7" s="1"/>
  <c r="L8" i="7"/>
  <c r="Q33" i="7"/>
  <c r="F38" i="7"/>
  <c r="E42" i="7"/>
  <c r="Q11" i="7"/>
  <c r="AF11" i="7" s="1"/>
  <c r="Q23" i="7"/>
  <c r="L24" i="7"/>
  <c r="Q10" i="7"/>
  <c r="AD10" i="7" s="1"/>
  <c r="E22" i="7"/>
  <c r="AD22" i="7" s="1"/>
  <c r="L20" i="7"/>
  <c r="F22" i="7"/>
  <c r="E38" i="7"/>
  <c r="AD38" i="7" s="1"/>
  <c r="E26" i="7"/>
  <c r="Z42" i="7"/>
  <c r="Z22" i="7"/>
  <c r="AE7" i="7"/>
  <c r="L12" i="7"/>
  <c r="AD21" i="7"/>
  <c r="AD14" i="7"/>
  <c r="AC22" i="7"/>
  <c r="Z24" i="7" s="1"/>
  <c r="AE18" i="7"/>
  <c r="L31" i="7"/>
  <c r="E37" i="7"/>
  <c r="AD37" i="7" s="1"/>
  <c r="N14" i="7"/>
  <c r="AF14" i="7" s="1"/>
  <c r="Z35" i="7"/>
  <c r="N41" i="7"/>
  <c r="AE25" i="7"/>
  <c r="L29" i="7"/>
  <c r="F37" i="7"/>
  <c r="X43" i="7"/>
  <c r="AD43" i="7" s="1"/>
  <c r="AA43" i="7"/>
  <c r="L9" i="7"/>
  <c r="L15" i="7"/>
  <c r="AE30" i="7"/>
  <c r="H42" i="7"/>
  <c r="AE42" i="7" s="1"/>
  <c r="L45" i="7"/>
  <c r="Z33" i="7"/>
  <c r="Q32" i="7"/>
  <c r="L42" i="7"/>
  <c r="Q39" i="7"/>
  <c r="AD39" i="7" s="1"/>
  <c r="E25" i="7"/>
  <c r="AD25" i="7" s="1"/>
  <c r="L36" i="7"/>
  <c r="L25" i="7"/>
  <c r="F40" i="7"/>
  <c r="F43" i="7"/>
  <c r="F24" i="7"/>
  <c r="Q29" i="7"/>
  <c r="L33" i="7"/>
  <c r="L16" i="7"/>
  <c r="L43" i="7"/>
  <c r="H45" i="7"/>
  <c r="AE45" i="7" s="1"/>
  <c r="Z20" i="7"/>
  <c r="Z32" i="7"/>
  <c r="F30" i="7"/>
  <c r="F39" i="7"/>
  <c r="L40" i="7"/>
  <c r="AC35" i="7"/>
  <c r="Z36" i="7" s="1"/>
  <c r="Z41" i="7"/>
  <c r="H39" i="7"/>
  <c r="Q40" i="7"/>
  <c r="AD40" i="7" s="1"/>
  <c r="Z26" i="7"/>
  <c r="AC33" i="7"/>
  <c r="Z34" i="7" s="1"/>
  <c r="F21" i="7"/>
  <c r="L23" i="7"/>
  <c r="L27" i="7"/>
  <c r="L30" i="7"/>
  <c r="E32" i="7"/>
  <c r="E35" i="7"/>
  <c r="Q36" i="7"/>
  <c r="AD18" i="7"/>
  <c r="U12" i="7"/>
  <c r="AE12" i="7" s="1"/>
  <c r="H23" i="7"/>
  <c r="AE23" i="7" s="1"/>
  <c r="L22" i="7"/>
  <c r="F32" i="7"/>
  <c r="F35" i="7"/>
  <c r="L46" i="7"/>
  <c r="L21" i="7"/>
  <c r="F25" i="7"/>
  <c r="F26" i="7"/>
  <c r="E31" i="7"/>
  <c r="AD31" i="7" s="1"/>
  <c r="E41" i="7"/>
  <c r="AD41" i="7" s="1"/>
  <c r="F45" i="7"/>
  <c r="AF7" i="7"/>
  <c r="L17" i="7"/>
  <c r="AF18" i="7"/>
  <c r="F28" i="7"/>
  <c r="F31" i="7"/>
  <c r="F41" i="7"/>
  <c r="AF8" i="7"/>
  <c r="AD13" i="7"/>
  <c r="H28" i="7"/>
  <c r="AF28" i="7" s="1"/>
  <c r="AD17" i="7"/>
  <c r="E23" i="7"/>
  <c r="L34" i="7"/>
  <c r="E44" i="7"/>
  <c r="AE8" i="7"/>
  <c r="L11" i="7"/>
  <c r="Q16" i="7"/>
  <c r="AF16" i="7" s="1"/>
  <c r="Q20" i="7"/>
  <c r="AD20" i="7" s="1"/>
  <c r="L28" i="7"/>
  <c r="E30" i="7"/>
  <c r="AD30" i="7" s="1"/>
  <c r="L37" i="7"/>
  <c r="F44" i="7"/>
  <c r="AC36" i="7"/>
  <c r="L10" i="7"/>
  <c r="W24" i="9"/>
  <c r="AA34" i="9"/>
  <c r="AC20" i="9"/>
  <c r="AB39" i="9"/>
  <c r="AB47" i="9"/>
  <c r="AA37" i="9"/>
  <c r="AC10" i="9"/>
  <c r="AB19" i="9"/>
  <c r="AB20" i="9"/>
  <c r="AA44" i="9"/>
  <c r="S48" i="9"/>
  <c r="AB48" i="9" s="1"/>
  <c r="S18" i="9"/>
  <c r="AC18" i="9" s="1"/>
  <c r="S24" i="9"/>
  <c r="AB24" i="9" s="1"/>
  <c r="H33" i="9"/>
  <c r="AB33" i="9" s="1"/>
  <c r="M38" i="9"/>
  <c r="M41" i="9"/>
  <c r="S22" i="9"/>
  <c r="AC22" i="9" s="1"/>
  <c r="E24" i="9"/>
  <c r="K28" i="9"/>
  <c r="W34" i="9"/>
  <c r="K35" i="9"/>
  <c r="H37" i="9"/>
  <c r="F39" i="9"/>
  <c r="H44" i="9"/>
  <c r="E48" i="9"/>
  <c r="S13" i="9"/>
  <c r="AC13" i="9" s="1"/>
  <c r="H23" i="9"/>
  <c r="AB23" i="9" s="1"/>
  <c r="M31" i="9"/>
  <c r="H32" i="9"/>
  <c r="S34" i="9"/>
  <c r="Z37" i="9"/>
  <c r="W38" i="9" s="1"/>
  <c r="Z44" i="9"/>
  <c r="M45" i="9"/>
  <c r="AB45" i="9" s="1"/>
  <c r="W22" i="9"/>
  <c r="K23" i="9"/>
  <c r="F24" i="9"/>
  <c r="F48" i="9"/>
  <c r="P15" i="9"/>
  <c r="E29" i="9"/>
  <c r="E36" i="9"/>
  <c r="E43" i="9"/>
  <c r="P47" i="9"/>
  <c r="K11" i="9"/>
  <c r="K20" i="9"/>
  <c r="K21" i="9"/>
  <c r="P25" i="9"/>
  <c r="AA25" i="9" s="1"/>
  <c r="P28" i="9"/>
  <c r="AA28" i="9" s="1"/>
  <c r="F29" i="9"/>
  <c r="E30" i="9"/>
  <c r="P35" i="9"/>
  <c r="F36" i="9"/>
  <c r="E40" i="9"/>
  <c r="K42" i="9"/>
  <c r="F43" i="9"/>
  <c r="AA19" i="9"/>
  <c r="AA20" i="9"/>
  <c r="AA16" i="9"/>
  <c r="E23" i="9"/>
  <c r="E32" i="9"/>
  <c r="E33" i="9"/>
  <c r="U46" i="7"/>
  <c r="Q45" i="7"/>
  <c r="Q44" i="7"/>
  <c r="U43" i="7"/>
  <c r="Q42" i="7"/>
  <c r="U34" i="7"/>
  <c r="AE34" i="7" s="1"/>
  <c r="Q35" i="7"/>
  <c r="Q26" i="7"/>
  <c r="U24" i="7"/>
  <c r="AD24" i="7"/>
  <c r="Q19" i="7"/>
  <c r="AD19" i="7" s="1"/>
  <c r="U17" i="7"/>
  <c r="AF17" i="7" s="1"/>
  <c r="Q15" i="7"/>
  <c r="AD15" i="7" s="1"/>
  <c r="F33" i="7"/>
  <c r="E33" i="7"/>
  <c r="N38" i="7"/>
  <c r="AE38" i="7" s="1"/>
  <c r="H21" i="7"/>
  <c r="U41" i="7"/>
  <c r="AE26" i="7"/>
  <c r="AE19" i="7"/>
  <c r="F29" i="7"/>
  <c r="E29" i="7"/>
  <c r="N32" i="7"/>
  <c r="AE32" i="7" s="1"/>
  <c r="AE10" i="7"/>
  <c r="H40" i="7"/>
  <c r="AF9" i="7"/>
  <c r="E46" i="7"/>
  <c r="H33" i="7"/>
  <c r="AE33" i="7" s="1"/>
  <c r="N39" i="7"/>
  <c r="AE44" i="7"/>
  <c r="H46" i="7"/>
  <c r="AD12" i="7"/>
  <c r="U13" i="7"/>
  <c r="AE13" i="7" s="1"/>
  <c r="AE27" i="7"/>
  <c r="U37" i="7"/>
  <c r="AE20" i="7"/>
  <c r="N35" i="7"/>
  <c r="AE35" i="7" s="1"/>
  <c r="H24" i="7"/>
  <c r="AE16" i="7"/>
  <c r="AE11" i="7"/>
  <c r="AE15" i="7"/>
  <c r="H29" i="7"/>
  <c r="AE29" i="7" s="1"/>
  <c r="U31" i="7"/>
  <c r="F36" i="7"/>
  <c r="E36" i="7"/>
  <c r="E34" i="7"/>
  <c r="H36" i="7"/>
  <c r="AE36" i="7" s="1"/>
  <c r="H43" i="7"/>
  <c r="AE9" i="7"/>
  <c r="U22" i="7"/>
  <c r="AE22" i="7" s="1"/>
  <c r="AD28" i="7"/>
  <c r="F34" i="7"/>
  <c r="E27" i="7"/>
  <c r="L13" i="7"/>
  <c r="L18" i="7"/>
  <c r="L19" i="7"/>
  <c r="L26" i="7"/>
  <c r="F27" i="7"/>
  <c r="L44" i="7"/>
  <c r="G13" i="13" l="1"/>
  <c r="F60" i="10"/>
  <c r="F53" i="7"/>
  <c r="K53" i="7" s="1"/>
  <c r="G53" i="7"/>
  <c r="H53" i="7" s="1"/>
  <c r="J52" i="7"/>
  <c r="F54" i="7"/>
  <c r="K54" i="7" s="1"/>
  <c r="G54" i="7"/>
  <c r="H54" i="7" s="1"/>
  <c r="AE29" i="11"/>
  <c r="AE25" i="11"/>
  <c r="AF32" i="11"/>
  <c r="K68" i="11"/>
  <c r="AE30" i="11"/>
  <c r="AB26" i="9"/>
  <c r="AA14" i="9"/>
  <c r="AC26" i="9"/>
  <c r="AB44" i="9"/>
  <c r="AC42" i="9"/>
  <c r="AC17" i="9"/>
  <c r="AC12" i="9"/>
  <c r="AC39" i="9"/>
  <c r="AB46" i="9"/>
  <c r="AB34" i="9"/>
  <c r="AC28" i="9"/>
  <c r="AA35" i="9"/>
  <c r="AB17" i="9"/>
  <c r="AB32" i="9"/>
  <c r="AB31" i="9"/>
  <c r="AA26" i="9"/>
  <c r="AC21" i="9"/>
  <c r="AC38" i="9"/>
  <c r="AB25" i="9"/>
  <c r="AB13" i="9"/>
  <c r="AC15" i="9"/>
  <c r="AC44" i="9"/>
  <c r="AC35" i="9"/>
  <c r="AC27" i="9"/>
  <c r="AC25" i="9"/>
  <c r="AA39" i="9"/>
  <c r="AB37" i="9"/>
  <c r="AB18" i="9"/>
  <c r="AC34" i="9"/>
  <c r="AB41" i="9"/>
  <c r="AK21" i="10"/>
  <c r="AK16" i="10"/>
  <c r="AK18" i="10"/>
  <c r="AK22" i="10"/>
  <c r="V24" i="10"/>
  <c r="S24" i="10"/>
  <c r="F25" i="10"/>
  <c r="I25" i="10"/>
  <c r="K24" i="10" s="1"/>
  <c r="AA20" i="10"/>
  <c r="Y23" i="10" s="1"/>
  <c r="Q23" i="10" s="1"/>
  <c r="Q20" i="10"/>
  <c r="AI20" i="10" s="1"/>
  <c r="AK20" i="10" s="1"/>
  <c r="AF31" i="11"/>
  <c r="F70" i="11"/>
  <c r="AD26" i="11"/>
  <c r="AF27" i="11"/>
  <c r="C47" i="11"/>
  <c r="H68" i="11"/>
  <c r="I34" i="11"/>
  <c r="F34" i="11"/>
  <c r="E34" i="11"/>
  <c r="O33" i="11"/>
  <c r="L33" i="11"/>
  <c r="G69" i="11"/>
  <c r="AE28" i="11"/>
  <c r="G70" i="11"/>
  <c r="AE31" i="11"/>
  <c r="C58" i="11"/>
  <c r="R23" i="10"/>
  <c r="K60" i="10"/>
  <c r="C47" i="10"/>
  <c r="C48" i="10" s="1"/>
  <c r="C49" i="10" s="1"/>
  <c r="C50" i="10" s="1"/>
  <c r="C51" i="10" s="1"/>
  <c r="C52" i="10" s="1"/>
  <c r="C53" i="10" s="1"/>
  <c r="L24" i="10"/>
  <c r="C38" i="10"/>
  <c r="G52" i="7"/>
  <c r="AF15" i="7"/>
  <c r="AC43" i="7"/>
  <c r="X44" i="7" s="1"/>
  <c r="AF44" i="7" s="1"/>
  <c r="AD42" i="7"/>
  <c r="AF10" i="7"/>
  <c r="AE43" i="7"/>
  <c r="AD11" i="7"/>
  <c r="AF23" i="7"/>
  <c r="AD23" i="7"/>
  <c r="AF12" i="7"/>
  <c r="AE41" i="7"/>
  <c r="AD26" i="7"/>
  <c r="AE14" i="7"/>
  <c r="AF37" i="7"/>
  <c r="AD32" i="7"/>
  <c r="AF42" i="7"/>
  <c r="AF25" i="7"/>
  <c r="AE28" i="7"/>
  <c r="AF35" i="7"/>
  <c r="AF39" i="7"/>
  <c r="AD35" i="7"/>
  <c r="AE39" i="7"/>
  <c r="AD16" i="7"/>
  <c r="AF30" i="7"/>
  <c r="AF19" i="7"/>
  <c r="AF32" i="7"/>
  <c r="AF26" i="7"/>
  <c r="AF31" i="7"/>
  <c r="AF20" i="7"/>
  <c r="AE17" i="7"/>
  <c r="AC31" i="9"/>
  <c r="AB22" i="9"/>
  <c r="AA33" i="9"/>
  <c r="AC33" i="9"/>
  <c r="AC32" i="9"/>
  <c r="AA32" i="9"/>
  <c r="AA23" i="9"/>
  <c r="AC23" i="9"/>
  <c r="AC30" i="9"/>
  <c r="AA30" i="9"/>
  <c r="AC24" i="9"/>
  <c r="AA24" i="9"/>
  <c r="X45" i="9"/>
  <c r="Z45" i="9" s="1"/>
  <c r="V45" i="9"/>
  <c r="AA45" i="9" s="1"/>
  <c r="AC41" i="9"/>
  <c r="AC40" i="9"/>
  <c r="AA40" i="9"/>
  <c r="AA43" i="9"/>
  <c r="AC43" i="9"/>
  <c r="AA15" i="9"/>
  <c r="AA36" i="9"/>
  <c r="AC36" i="9"/>
  <c r="AC29" i="9"/>
  <c r="AA29" i="9"/>
  <c r="AB38" i="9"/>
  <c r="AC37" i="9"/>
  <c r="AE46" i="7"/>
  <c r="AF41" i="7"/>
  <c r="AE37" i="7"/>
  <c r="AF22" i="7"/>
  <c r="AE24" i="7"/>
  <c r="AF24" i="7"/>
  <c r="AF27" i="7"/>
  <c r="AD27" i="7"/>
  <c r="AD33" i="7"/>
  <c r="AF33" i="7"/>
  <c r="AF13" i="7"/>
  <c r="AD29" i="7"/>
  <c r="AF29" i="7"/>
  <c r="AD36" i="7"/>
  <c r="AF36" i="7"/>
  <c r="AF38" i="7"/>
  <c r="AE31" i="7"/>
  <c r="AE40" i="7"/>
  <c r="AF40" i="7"/>
  <c r="AF34" i="7"/>
  <c r="AD34" i="7"/>
  <c r="AE21" i="7"/>
  <c r="AF21" i="7"/>
  <c r="AF43" i="7"/>
  <c r="I15" i="13" l="1"/>
  <c r="J54" i="7"/>
  <c r="J53" i="7"/>
  <c r="H70" i="11"/>
  <c r="K70" i="11"/>
  <c r="K69" i="11"/>
  <c r="AC45" i="9"/>
  <c r="J25" i="10"/>
  <c r="G26" i="10"/>
  <c r="F26" i="10" s="1"/>
  <c r="M25" i="10"/>
  <c r="L25" i="10" s="1"/>
  <c r="AF24" i="10"/>
  <c r="AA23" i="10"/>
  <c r="AF23" i="10" s="1"/>
  <c r="AH23" i="10" s="1"/>
  <c r="H69" i="11"/>
  <c r="C48" i="11"/>
  <c r="T33" i="11"/>
  <c r="R32" i="11"/>
  <c r="K33" i="11"/>
  <c r="M34" i="11"/>
  <c r="J34" i="11"/>
  <c r="G35" i="11"/>
  <c r="C59" i="11"/>
  <c r="AI24" i="10"/>
  <c r="AK24" i="10" s="1"/>
  <c r="C39" i="10"/>
  <c r="AD44" i="7"/>
  <c r="AA44" i="7"/>
  <c r="V46" i="9"/>
  <c r="X46" i="9"/>
  <c r="Z46" i="9" s="1"/>
  <c r="F15" i="13" l="1"/>
  <c r="G15" i="13" s="1"/>
  <c r="J14" i="13"/>
  <c r="O25" i="10"/>
  <c r="E26" i="10"/>
  <c r="I26" i="10"/>
  <c r="G27" i="10" s="1"/>
  <c r="AD23" i="10"/>
  <c r="AI23" i="10"/>
  <c r="C60" i="11"/>
  <c r="I35" i="11"/>
  <c r="F35" i="11"/>
  <c r="E35" i="11"/>
  <c r="O34" i="11"/>
  <c r="Q34" i="11" s="1"/>
  <c r="AD34" i="11" s="1"/>
  <c r="L34" i="11"/>
  <c r="V33" i="11"/>
  <c r="Q33" i="11"/>
  <c r="C49" i="11"/>
  <c r="AI25" i="10"/>
  <c r="AK25" i="10" s="1"/>
  <c r="K25" i="10"/>
  <c r="AH24" i="10"/>
  <c r="C40" i="10"/>
  <c r="AC44" i="7"/>
  <c r="AA46" i="9"/>
  <c r="AC46" i="9"/>
  <c r="V47" i="9"/>
  <c r="X47" i="9"/>
  <c r="Z47" i="9" s="1"/>
  <c r="V48" i="9" s="1"/>
  <c r="H15" i="13" l="1"/>
  <c r="K14" i="13"/>
  <c r="L14" i="13"/>
  <c r="AF34" i="11"/>
  <c r="M26" i="10"/>
  <c r="L26" i="10" s="1"/>
  <c r="J26" i="10"/>
  <c r="AK23" i="10"/>
  <c r="G36" i="11"/>
  <c r="M35" i="11"/>
  <c r="J35" i="11"/>
  <c r="K34" i="11"/>
  <c r="AD33" i="11"/>
  <c r="AF33" i="11"/>
  <c r="C61" i="11"/>
  <c r="C50" i="11"/>
  <c r="Y32" i="11"/>
  <c r="T35" i="11"/>
  <c r="AA33" i="11"/>
  <c r="AC33" i="11" s="1"/>
  <c r="S33" i="11"/>
  <c r="E27" i="10"/>
  <c r="F27" i="10"/>
  <c r="I27" i="10"/>
  <c r="C41" i="10"/>
  <c r="X45" i="7"/>
  <c r="AA45" i="7"/>
  <c r="AC47" i="9"/>
  <c r="AA47" i="9"/>
  <c r="AC48" i="9"/>
  <c r="AA48" i="9"/>
  <c r="J15" i="13" l="1"/>
  <c r="I16" i="13"/>
  <c r="F16" i="13"/>
  <c r="G16" i="13" s="1"/>
  <c r="O26" i="10"/>
  <c r="Y26" i="10" s="1"/>
  <c r="AA26" i="10" s="1"/>
  <c r="C51" i="11"/>
  <c r="C62" i="11"/>
  <c r="V35" i="11"/>
  <c r="L35" i="11"/>
  <c r="O35" i="11"/>
  <c r="R33" i="11" s="1"/>
  <c r="I36" i="11"/>
  <c r="E36" i="11"/>
  <c r="F36" i="11"/>
  <c r="AI26" i="10"/>
  <c r="K26" i="10"/>
  <c r="G28" i="10"/>
  <c r="C42" i="10"/>
  <c r="AC45" i="7"/>
  <c r="X46" i="7" s="1"/>
  <c r="AD45" i="7"/>
  <c r="AF45" i="7"/>
  <c r="H16" i="13" l="1"/>
  <c r="K15" i="13"/>
  <c r="L15" i="13"/>
  <c r="M27" i="10"/>
  <c r="O27" i="10" s="1"/>
  <c r="T27" i="10" s="1"/>
  <c r="R24" i="10"/>
  <c r="X26" i="10"/>
  <c r="J27" i="10"/>
  <c r="AK26" i="10"/>
  <c r="S35" i="11"/>
  <c r="Q35" i="11"/>
  <c r="G37" i="11"/>
  <c r="K35" i="11"/>
  <c r="M36" i="11"/>
  <c r="J36" i="11"/>
  <c r="C52" i="11"/>
  <c r="I28" i="10"/>
  <c r="F28" i="10"/>
  <c r="E28" i="10"/>
  <c r="C43" i="10"/>
  <c r="AF46" i="7"/>
  <c r="AD46" i="7"/>
  <c r="F17" i="13" l="1"/>
  <c r="G17" i="13" s="1"/>
  <c r="I17" i="13"/>
  <c r="J16" i="13"/>
  <c r="K16" i="13" s="1"/>
  <c r="L27" i="10"/>
  <c r="V27" i="10"/>
  <c r="S27" i="10"/>
  <c r="D52" i="11"/>
  <c r="O36" i="11"/>
  <c r="L36" i="11"/>
  <c r="I37" i="11"/>
  <c r="F37" i="11"/>
  <c r="E37" i="11"/>
  <c r="AF35" i="11"/>
  <c r="AD35" i="11"/>
  <c r="R26" i="10"/>
  <c r="G29" i="10"/>
  <c r="J28" i="10"/>
  <c r="K27" i="10"/>
  <c r="M28" i="10"/>
  <c r="D43" i="10"/>
  <c r="H17" i="13" l="1"/>
  <c r="L16" i="13"/>
  <c r="J17" i="13"/>
  <c r="K17" i="13" s="1"/>
  <c r="D59" i="10"/>
  <c r="E59" i="10" s="1"/>
  <c r="I59" i="10"/>
  <c r="J59" i="10" s="1"/>
  <c r="AF27" i="10"/>
  <c r="AD24" i="10"/>
  <c r="T30" i="10"/>
  <c r="J37" i="11"/>
  <c r="M37" i="11"/>
  <c r="K36" i="11"/>
  <c r="G38" i="11"/>
  <c r="D68" i="11"/>
  <c r="C68" i="11"/>
  <c r="J68" i="11" s="1"/>
  <c r="R35" i="11"/>
  <c r="T36" i="11"/>
  <c r="O28" i="10"/>
  <c r="L28" i="10"/>
  <c r="I29" i="10"/>
  <c r="F29" i="10"/>
  <c r="E29" i="10"/>
  <c r="I18" i="13" l="1"/>
  <c r="J18" i="13" s="1"/>
  <c r="L18" i="13" s="1"/>
  <c r="F18" i="13"/>
  <c r="G18" i="13" s="1"/>
  <c r="L17" i="13"/>
  <c r="V30" i="10"/>
  <c r="T31" i="10" s="1"/>
  <c r="R27" i="10"/>
  <c r="Y28" i="10"/>
  <c r="AA28" i="10" s="1"/>
  <c r="Y29" i="10" s="1"/>
  <c r="V36" i="11"/>
  <c r="Q36" i="11"/>
  <c r="O37" i="11"/>
  <c r="R36" i="11" s="1"/>
  <c r="L37" i="11"/>
  <c r="E38" i="11"/>
  <c r="I38" i="11"/>
  <c r="F38" i="11"/>
  <c r="AI27" i="10"/>
  <c r="G30" i="10"/>
  <c r="M29" i="10"/>
  <c r="J29" i="10"/>
  <c r="K28" i="10"/>
  <c r="K18" i="13" l="1"/>
  <c r="H18" i="13"/>
  <c r="D69" i="10"/>
  <c r="F69" i="10" s="1"/>
  <c r="E69" i="10"/>
  <c r="AK27" i="10"/>
  <c r="AA29" i="10"/>
  <c r="V31" i="10"/>
  <c r="K37" i="11"/>
  <c r="J38" i="11"/>
  <c r="G39" i="11"/>
  <c r="M38" i="11"/>
  <c r="AD36" i="11"/>
  <c r="AF36" i="11"/>
  <c r="S36" i="11"/>
  <c r="AA36" i="11"/>
  <c r="T37" i="11"/>
  <c r="Y33" i="11"/>
  <c r="F30" i="10"/>
  <c r="I30" i="10"/>
  <c r="E30" i="10"/>
  <c r="O29" i="10"/>
  <c r="R28" i="10" s="1"/>
  <c r="L29" i="10"/>
  <c r="AE27" i="10"/>
  <c r="AH27" i="10"/>
  <c r="I22" i="13" l="1"/>
  <c r="I21" i="13"/>
  <c r="F3" i="13"/>
  <c r="I20" i="13"/>
  <c r="I23" i="13"/>
  <c r="AD27" i="10"/>
  <c r="Y33" i="10"/>
  <c r="AF29" i="10"/>
  <c r="AF31" i="10"/>
  <c r="Q29" i="10"/>
  <c r="Q37" i="11"/>
  <c r="V37" i="11"/>
  <c r="Z36" i="11"/>
  <c r="AC36" i="11"/>
  <c r="F39" i="11"/>
  <c r="E39" i="11"/>
  <c r="I39" i="11"/>
  <c r="O38" i="11"/>
  <c r="R37" i="11" s="1"/>
  <c r="L38" i="11"/>
  <c r="AI28" i="10"/>
  <c r="AK28" i="10" s="1"/>
  <c r="K29" i="10"/>
  <c r="M30" i="10"/>
  <c r="J30" i="10"/>
  <c r="G31" i="10"/>
  <c r="F4" i="13" l="1"/>
  <c r="F5" i="13" s="1"/>
  <c r="AA33" i="10"/>
  <c r="T38" i="11"/>
  <c r="S37" i="11"/>
  <c r="G40" i="11"/>
  <c r="J39" i="11"/>
  <c r="K38" i="11"/>
  <c r="M39" i="11"/>
  <c r="AD37" i="11"/>
  <c r="AF37" i="11"/>
  <c r="E31" i="10"/>
  <c r="I31" i="10"/>
  <c r="F31" i="10"/>
  <c r="O30" i="10"/>
  <c r="L30" i="10"/>
  <c r="R29" i="10" l="1"/>
  <c r="Q30" i="10"/>
  <c r="AD29" i="10"/>
  <c r="AD33" i="10"/>
  <c r="O39" i="11"/>
  <c r="R38" i="11" s="1"/>
  <c r="L39" i="11"/>
  <c r="Q38" i="11"/>
  <c r="V38" i="11"/>
  <c r="F40" i="11"/>
  <c r="E40" i="11"/>
  <c r="I40" i="11"/>
  <c r="AI29" i="10"/>
  <c r="AK29" i="10" s="1"/>
  <c r="G32" i="10"/>
  <c r="J31" i="10"/>
  <c r="M31" i="10"/>
  <c r="K30" i="10"/>
  <c r="M40" i="11" l="1"/>
  <c r="J40" i="11"/>
  <c r="K39" i="11"/>
  <c r="G41" i="11"/>
  <c r="S38" i="11"/>
  <c r="T39" i="11"/>
  <c r="Y36" i="11"/>
  <c r="AA38" i="11"/>
  <c r="AF38" i="11"/>
  <c r="AD38" i="11"/>
  <c r="O31" i="10"/>
  <c r="L31" i="10"/>
  <c r="E32" i="10"/>
  <c r="F32" i="10"/>
  <c r="I32" i="10"/>
  <c r="AE29" i="10"/>
  <c r="AH29" i="10"/>
  <c r="R30" i="10" l="1"/>
  <c r="Q31" i="10"/>
  <c r="AC38" i="11"/>
  <c r="Z38" i="11"/>
  <c r="V39" i="11"/>
  <c r="Q39" i="11"/>
  <c r="F41" i="11"/>
  <c r="E41" i="11"/>
  <c r="I41" i="11"/>
  <c r="L40" i="11"/>
  <c r="O40" i="11"/>
  <c r="R39" i="11" s="1"/>
  <c r="AI30" i="10"/>
  <c r="AK30" i="10" s="1"/>
  <c r="M32" i="10"/>
  <c r="G33" i="10"/>
  <c r="J32" i="10"/>
  <c r="K31" i="10"/>
  <c r="M41" i="11" l="1"/>
  <c r="K40" i="11"/>
  <c r="G42" i="11"/>
  <c r="J41" i="11"/>
  <c r="AD39" i="11"/>
  <c r="AF39" i="11"/>
  <c r="S39" i="11"/>
  <c r="T40" i="11"/>
  <c r="E33" i="10"/>
  <c r="I33" i="10"/>
  <c r="F33" i="10"/>
  <c r="O32" i="10"/>
  <c r="L32" i="10"/>
  <c r="G60" i="10"/>
  <c r="V40" i="11" l="1"/>
  <c r="Q40" i="11"/>
  <c r="I42" i="11"/>
  <c r="E42" i="11"/>
  <c r="F42" i="11"/>
  <c r="O41" i="11"/>
  <c r="Q41" i="11" s="1"/>
  <c r="L41" i="11"/>
  <c r="AI31" i="10"/>
  <c r="AK31" i="10" s="1"/>
  <c r="AI32" i="10"/>
  <c r="AK32" i="10" s="1"/>
  <c r="G34" i="10"/>
  <c r="M33" i="10"/>
  <c r="K32" i="10"/>
  <c r="J33" i="10"/>
  <c r="H60" i="10"/>
  <c r="AF41" i="11" l="1"/>
  <c r="AD41" i="11"/>
  <c r="J42" i="11"/>
  <c r="M42" i="11"/>
  <c r="G43" i="11"/>
  <c r="K41" i="11"/>
  <c r="AD40" i="11"/>
  <c r="AF40" i="11"/>
  <c r="AA40" i="11"/>
  <c r="S40" i="11"/>
  <c r="Y38" i="11"/>
  <c r="T42" i="11"/>
  <c r="O33" i="10"/>
  <c r="L33" i="10"/>
  <c r="I34" i="10"/>
  <c r="F34" i="10"/>
  <c r="E34" i="10"/>
  <c r="AE31" i="10"/>
  <c r="AH31" i="10"/>
  <c r="AF33" i="10" s="1"/>
  <c r="AC33" i="10" s="1"/>
  <c r="R31" i="10" l="1"/>
  <c r="Q33" i="10"/>
  <c r="AI33" i="10" s="1"/>
  <c r="AK33" i="10" s="1"/>
  <c r="I43" i="11"/>
  <c r="E43" i="11"/>
  <c r="F43" i="11"/>
  <c r="AC40" i="11"/>
  <c r="Z40" i="11"/>
  <c r="V42" i="11"/>
  <c r="L42" i="11"/>
  <c r="O42" i="11"/>
  <c r="R40" i="11" s="1"/>
  <c r="G35" i="10"/>
  <c r="K33" i="10"/>
  <c r="M34" i="10"/>
  <c r="J34" i="10"/>
  <c r="AA42" i="11" l="1"/>
  <c r="T45" i="11"/>
  <c r="Y40" i="11"/>
  <c r="S42" i="11"/>
  <c r="Q42" i="11"/>
  <c r="K42" i="11"/>
  <c r="M43" i="11"/>
  <c r="J43" i="11"/>
  <c r="G44" i="11"/>
  <c r="O34" i="10"/>
  <c r="L34" i="10"/>
  <c r="I35" i="10"/>
  <c r="F35" i="10"/>
  <c r="E35" i="10"/>
  <c r="AH33" i="10"/>
  <c r="O43" i="11" l="1"/>
  <c r="Q43" i="11" s="1"/>
  <c r="L43" i="11"/>
  <c r="F44" i="11"/>
  <c r="E44" i="11"/>
  <c r="I44" i="11"/>
  <c r="AF42" i="11"/>
  <c r="AD42" i="11"/>
  <c r="V45" i="11"/>
  <c r="AC42" i="11"/>
  <c r="Z42" i="11"/>
  <c r="K34" i="10"/>
  <c r="M35" i="10"/>
  <c r="J35" i="10"/>
  <c r="G36" i="10"/>
  <c r="AI34" i="10"/>
  <c r="AK34" i="10" s="1"/>
  <c r="T47" i="11" l="1"/>
  <c r="M44" i="11"/>
  <c r="J44" i="11"/>
  <c r="K43" i="11"/>
  <c r="G45" i="11"/>
  <c r="AF43" i="11"/>
  <c r="AD43" i="11"/>
  <c r="O35" i="10"/>
  <c r="L35" i="10"/>
  <c r="I36" i="10"/>
  <c r="F36" i="10"/>
  <c r="E36" i="10"/>
  <c r="AI35" i="10" l="1"/>
  <c r="AK35" i="10" s="1"/>
  <c r="V47" i="11"/>
  <c r="I45" i="11"/>
  <c r="F45" i="11"/>
  <c r="E45" i="11"/>
  <c r="L44" i="11"/>
  <c r="O44" i="11"/>
  <c r="Q44" i="11" s="1"/>
  <c r="M36" i="10"/>
  <c r="K35" i="10"/>
  <c r="J36" i="10"/>
  <c r="G37" i="10"/>
  <c r="AF44" i="11" l="1"/>
  <c r="AD44" i="11"/>
  <c r="J45" i="11"/>
  <c r="K44" i="11"/>
  <c r="M45" i="11"/>
  <c r="G46" i="11"/>
  <c r="I37" i="10"/>
  <c r="E37" i="10"/>
  <c r="F37" i="10"/>
  <c r="O36" i="10"/>
  <c r="T36" i="10" s="1"/>
  <c r="L36" i="10"/>
  <c r="V36" i="10" l="1"/>
  <c r="S36" i="10"/>
  <c r="I46" i="11"/>
  <c r="F46" i="11"/>
  <c r="E46" i="11"/>
  <c r="L45" i="11"/>
  <c r="O45" i="11"/>
  <c r="R33" i="10"/>
  <c r="J37" i="10"/>
  <c r="AI37" i="10" s="1"/>
  <c r="AK37" i="10" s="1"/>
  <c r="K36" i="10"/>
  <c r="M37" i="10"/>
  <c r="G38" i="10"/>
  <c r="K45" i="11" l="1"/>
  <c r="J46" i="11"/>
  <c r="M46" i="11"/>
  <c r="G47" i="11"/>
  <c r="R42" i="11"/>
  <c r="Q45" i="11"/>
  <c r="S45" i="11"/>
  <c r="AF46" i="11"/>
  <c r="AD46" i="11"/>
  <c r="I38" i="10"/>
  <c r="F38" i="10"/>
  <c r="E38" i="10"/>
  <c r="O37" i="10"/>
  <c r="L37" i="10"/>
  <c r="AI36" i="10"/>
  <c r="AK36" i="10" s="1"/>
  <c r="AD45" i="11" l="1"/>
  <c r="AF45" i="11"/>
  <c r="O46" i="11"/>
  <c r="L46" i="11"/>
  <c r="I47" i="11"/>
  <c r="F47" i="11"/>
  <c r="E47" i="11"/>
  <c r="K37" i="10"/>
  <c r="M38" i="10"/>
  <c r="J38" i="10"/>
  <c r="G39" i="10"/>
  <c r="M47" i="11" l="1"/>
  <c r="J47" i="11"/>
  <c r="K46" i="11"/>
  <c r="G48" i="11"/>
  <c r="I39" i="10"/>
  <c r="F39" i="10"/>
  <c r="E39" i="10"/>
  <c r="O38" i="10"/>
  <c r="Y38" i="10" s="1"/>
  <c r="L38" i="10"/>
  <c r="AA38" i="10" l="1"/>
  <c r="X38" i="10"/>
  <c r="I48" i="11"/>
  <c r="F48" i="11"/>
  <c r="E48" i="11"/>
  <c r="O47" i="11"/>
  <c r="L47" i="11"/>
  <c r="R36" i="10"/>
  <c r="K38" i="10"/>
  <c r="J39" i="10"/>
  <c r="G40" i="10"/>
  <c r="M39" i="10"/>
  <c r="J48" i="11" l="1"/>
  <c r="M48" i="11"/>
  <c r="K47" i="11"/>
  <c r="G49" i="11"/>
  <c r="R45" i="11"/>
  <c r="Q47" i="11"/>
  <c r="S47" i="11"/>
  <c r="O39" i="10"/>
  <c r="T39" i="10" s="1"/>
  <c r="L39" i="10"/>
  <c r="I40" i="10"/>
  <c r="F40" i="10"/>
  <c r="E40" i="10"/>
  <c r="AI38" i="10"/>
  <c r="AK38" i="10" s="1"/>
  <c r="V39" i="10" l="1"/>
  <c r="AD31" i="10" s="1"/>
  <c r="S39" i="10"/>
  <c r="O48" i="11"/>
  <c r="L48" i="11"/>
  <c r="AF47" i="11"/>
  <c r="AD47" i="11"/>
  <c r="I49" i="11"/>
  <c r="F49" i="11"/>
  <c r="E49" i="11"/>
  <c r="J40" i="10"/>
  <c r="G41" i="10"/>
  <c r="M40" i="10"/>
  <c r="K39" i="10"/>
  <c r="R38" i="10"/>
  <c r="R47" i="11" l="1"/>
  <c r="T48" i="11"/>
  <c r="J49" i="11"/>
  <c r="M49" i="11"/>
  <c r="K48" i="11"/>
  <c r="G50" i="11"/>
  <c r="O40" i="10"/>
  <c r="L40" i="10"/>
  <c r="I41" i="10"/>
  <c r="F41" i="10"/>
  <c r="E41" i="10"/>
  <c r="R39" i="10" l="1"/>
  <c r="Y40" i="10"/>
  <c r="L49" i="11"/>
  <c r="O49" i="11"/>
  <c r="R48" i="11" s="1"/>
  <c r="E50" i="11"/>
  <c r="I50" i="11"/>
  <c r="F50" i="11"/>
  <c r="V48" i="11"/>
  <c r="Q48" i="11"/>
  <c r="M41" i="10"/>
  <c r="J41" i="10"/>
  <c r="K40" i="10"/>
  <c r="G42" i="10"/>
  <c r="AI39" i="10"/>
  <c r="AK39" i="10" s="1"/>
  <c r="AF39" i="10"/>
  <c r="AA40" i="10" l="1"/>
  <c r="X40" i="10"/>
  <c r="AF48" i="11"/>
  <c r="AD48" i="11"/>
  <c r="AA48" i="11"/>
  <c r="S48" i="11"/>
  <c r="Y42" i="11"/>
  <c r="T49" i="11"/>
  <c r="M50" i="11"/>
  <c r="K49" i="11"/>
  <c r="J50" i="11"/>
  <c r="G51" i="11"/>
  <c r="AH39" i="10"/>
  <c r="AF40" i="10" s="1"/>
  <c r="AC40" i="10" s="1"/>
  <c r="AE39" i="10"/>
  <c r="I42" i="10"/>
  <c r="E42" i="10"/>
  <c r="F42" i="10"/>
  <c r="O41" i="10"/>
  <c r="L41" i="10"/>
  <c r="R40" i="10" l="1"/>
  <c r="T41" i="10"/>
  <c r="AD39" i="10"/>
  <c r="Y42" i="10"/>
  <c r="Q49" i="11"/>
  <c r="V49" i="11"/>
  <c r="I51" i="11"/>
  <c r="F51" i="11"/>
  <c r="E51" i="11"/>
  <c r="O50" i="11"/>
  <c r="R49" i="11" s="1"/>
  <c r="L50" i="11"/>
  <c r="Z48" i="11"/>
  <c r="AC48" i="11"/>
  <c r="J42" i="10"/>
  <c r="M42" i="10"/>
  <c r="K41" i="10"/>
  <c r="G43" i="10"/>
  <c r="AI40" i="10"/>
  <c r="AK40" i="10" s="1"/>
  <c r="S41" i="10" l="1"/>
  <c r="V41" i="10"/>
  <c r="AA42" i="10"/>
  <c r="M51" i="11"/>
  <c r="K50" i="11"/>
  <c r="J51" i="11"/>
  <c r="G52" i="11"/>
  <c r="AA49" i="11"/>
  <c r="Y48" i="11"/>
  <c r="S49" i="11"/>
  <c r="T50" i="11"/>
  <c r="AD49" i="11"/>
  <c r="AF49" i="11"/>
  <c r="AH40" i="10"/>
  <c r="AF41" i="10" s="1"/>
  <c r="AC41" i="10" s="1"/>
  <c r="I43" i="10"/>
  <c r="E43" i="10"/>
  <c r="F43" i="10"/>
  <c r="O42" i="10"/>
  <c r="R41" i="10" s="1"/>
  <c r="L42" i="10"/>
  <c r="AD41" i="10" l="1"/>
  <c r="Q42" i="10"/>
  <c r="T43" i="10"/>
  <c r="AD40" i="10"/>
  <c r="Q50" i="11"/>
  <c r="V50" i="11"/>
  <c r="AC49" i="11"/>
  <c r="Z49" i="11"/>
  <c r="I52" i="11"/>
  <c r="F52" i="11"/>
  <c r="E52" i="11"/>
  <c r="O51" i="11"/>
  <c r="R50" i="11" s="1"/>
  <c r="L51" i="11"/>
  <c r="G44" i="10"/>
  <c r="M43" i="10"/>
  <c r="K42" i="10"/>
  <c r="J43" i="10"/>
  <c r="AI41" i="10"/>
  <c r="AK41" i="10" s="1"/>
  <c r="AH41" i="10"/>
  <c r="AF42" i="10" s="1"/>
  <c r="AC42" i="10" s="1"/>
  <c r="V43" i="10" l="1"/>
  <c r="AD42" i="10" s="1"/>
  <c r="G53" i="11"/>
  <c r="J52" i="11"/>
  <c r="K51" i="11"/>
  <c r="M52" i="11"/>
  <c r="AA50" i="11"/>
  <c r="T51" i="11"/>
  <c r="S50" i="11"/>
  <c r="Y49" i="11"/>
  <c r="AF50" i="11"/>
  <c r="AD50" i="11"/>
  <c r="O43" i="10"/>
  <c r="R42" i="10" s="1"/>
  <c r="L43" i="10"/>
  <c r="I44" i="10"/>
  <c r="E44" i="10"/>
  <c r="F44" i="10"/>
  <c r="Q43" i="10" l="1"/>
  <c r="Q51" i="11"/>
  <c r="V51" i="11"/>
  <c r="AC50" i="11"/>
  <c r="Z50" i="11"/>
  <c r="O52" i="11"/>
  <c r="R51" i="11" s="1"/>
  <c r="L52" i="11"/>
  <c r="F53" i="11"/>
  <c r="E53" i="11"/>
  <c r="I53" i="11"/>
  <c r="G45" i="10"/>
  <c r="K43" i="10"/>
  <c r="J44" i="10"/>
  <c r="M44" i="10"/>
  <c r="AI42" i="10"/>
  <c r="AK42" i="10" s="1"/>
  <c r="AF51" i="11" l="1"/>
  <c r="AD51" i="11"/>
  <c r="J53" i="11"/>
  <c r="K52" i="11"/>
  <c r="M53" i="11"/>
  <c r="G54" i="11"/>
  <c r="AA51" i="11"/>
  <c r="T52" i="11"/>
  <c r="S51" i="11"/>
  <c r="Y50" i="11"/>
  <c r="AH42" i="10"/>
  <c r="AF43" i="10" s="1"/>
  <c r="AC43" i="10" s="1"/>
  <c r="O44" i="10"/>
  <c r="L44" i="10"/>
  <c r="E45" i="10"/>
  <c r="F45" i="10"/>
  <c r="I45" i="10"/>
  <c r="R43" i="10" l="1"/>
  <c r="T44" i="10"/>
  <c r="F54" i="11"/>
  <c r="I54" i="11"/>
  <c r="E54" i="11"/>
  <c r="Q52" i="11"/>
  <c r="V52" i="11"/>
  <c r="AC51" i="11"/>
  <c r="Z51" i="11"/>
  <c r="L53" i="11"/>
  <c r="O53" i="11"/>
  <c r="R52" i="11" s="1"/>
  <c r="M45" i="10"/>
  <c r="J45" i="10"/>
  <c r="K44" i="10"/>
  <c r="G46" i="10"/>
  <c r="AI43" i="10"/>
  <c r="AK43" i="10" s="1"/>
  <c r="V44" i="10" l="1"/>
  <c r="T47" i="10" s="1"/>
  <c r="S44" i="10"/>
  <c r="S52" i="11"/>
  <c r="T53" i="11"/>
  <c r="AA52" i="11"/>
  <c r="Y51" i="11"/>
  <c r="AF52" i="11"/>
  <c r="AD52" i="11"/>
  <c r="M54" i="11"/>
  <c r="K53" i="11"/>
  <c r="J54" i="11"/>
  <c r="G55" i="11"/>
  <c r="AH43" i="10"/>
  <c r="E46" i="10"/>
  <c r="F46" i="10"/>
  <c r="I46" i="10"/>
  <c r="L45" i="10"/>
  <c r="O45" i="10"/>
  <c r="V47" i="10" l="1"/>
  <c r="V53" i="11"/>
  <c r="Q53" i="11"/>
  <c r="I55" i="11"/>
  <c r="E55" i="11"/>
  <c r="F55" i="11"/>
  <c r="O54" i="11"/>
  <c r="Q54" i="11" s="1"/>
  <c r="AD54" i="11" s="1"/>
  <c r="L54" i="11"/>
  <c r="Z52" i="11"/>
  <c r="AC52" i="11"/>
  <c r="AI45" i="10"/>
  <c r="AK45" i="10" s="1"/>
  <c r="K45" i="10"/>
  <c r="J46" i="10"/>
  <c r="M46" i="10"/>
  <c r="G47" i="10"/>
  <c r="AI44" i="10"/>
  <c r="AK44" i="10" s="1"/>
  <c r="AF54" i="11" l="1"/>
  <c r="K54" i="11"/>
  <c r="J55" i="11"/>
  <c r="M55" i="11"/>
  <c r="G56" i="11"/>
  <c r="AD53" i="11"/>
  <c r="AF53" i="11"/>
  <c r="S53" i="11"/>
  <c r="T55" i="11"/>
  <c r="I47" i="10"/>
  <c r="F47" i="10"/>
  <c r="E47" i="10"/>
  <c r="O46" i="10"/>
  <c r="L46" i="10"/>
  <c r="R44" i="10" l="1"/>
  <c r="Y46" i="10"/>
  <c r="V55" i="11"/>
  <c r="F56" i="11"/>
  <c r="E56" i="11"/>
  <c r="I56" i="11"/>
  <c r="L55" i="11"/>
  <c r="O55" i="11"/>
  <c r="R53" i="11" s="1"/>
  <c r="G48" i="10"/>
  <c r="M47" i="10"/>
  <c r="K46" i="10"/>
  <c r="J47" i="10"/>
  <c r="AA46" i="10" l="1"/>
  <c r="X46" i="10"/>
  <c r="AA55" i="11"/>
  <c r="AC55" i="11" s="1"/>
  <c r="S55" i="11"/>
  <c r="Y52" i="11"/>
  <c r="K55" i="11"/>
  <c r="M56" i="11"/>
  <c r="J56" i="11"/>
  <c r="G57" i="11"/>
  <c r="Q55" i="11"/>
  <c r="AI46" i="10"/>
  <c r="AK46" i="10" s="1"/>
  <c r="O47" i="10"/>
  <c r="Q47" i="10" s="1"/>
  <c r="L47" i="10"/>
  <c r="F48" i="10"/>
  <c r="E48" i="10"/>
  <c r="I48" i="10"/>
  <c r="AF46" i="10" l="1"/>
  <c r="Y48" i="10"/>
  <c r="AD43" i="10"/>
  <c r="AF55" i="11"/>
  <c r="AD55" i="11"/>
  <c r="I57" i="11"/>
  <c r="E57" i="11"/>
  <c r="F57" i="11"/>
  <c r="O56" i="11"/>
  <c r="L56" i="11"/>
  <c r="M48" i="10"/>
  <c r="K47" i="10"/>
  <c r="G49" i="10"/>
  <c r="J48" i="10"/>
  <c r="R46" i="10"/>
  <c r="AA48" i="10" l="1"/>
  <c r="AD46" i="10" s="1"/>
  <c r="AE46" i="10"/>
  <c r="AH46" i="10"/>
  <c r="AF48" i="10" s="1"/>
  <c r="AC48" i="10" s="1"/>
  <c r="R55" i="11"/>
  <c r="T56" i="11"/>
  <c r="J57" i="11"/>
  <c r="M57" i="11"/>
  <c r="K56" i="11"/>
  <c r="G58" i="11"/>
  <c r="O48" i="10"/>
  <c r="R47" i="10" s="1"/>
  <c r="L48" i="10"/>
  <c r="I49" i="10"/>
  <c r="F49" i="10"/>
  <c r="E49" i="10"/>
  <c r="Q48" i="10" l="1"/>
  <c r="I58" i="11"/>
  <c r="F58" i="11"/>
  <c r="E58" i="11"/>
  <c r="L57" i="11"/>
  <c r="O57" i="11"/>
  <c r="R56" i="11" s="1"/>
  <c r="Q56" i="11"/>
  <c r="V56" i="11"/>
  <c r="M49" i="10"/>
  <c r="G50" i="10"/>
  <c r="J49" i="10"/>
  <c r="K48" i="10"/>
  <c r="AI47" i="10"/>
  <c r="AK47" i="10" s="1"/>
  <c r="T57" i="11" l="1"/>
  <c r="S56" i="11"/>
  <c r="AD56" i="11"/>
  <c r="AF56" i="11"/>
  <c r="J58" i="11"/>
  <c r="K57" i="11"/>
  <c r="M58" i="11"/>
  <c r="G59" i="11"/>
  <c r="I50" i="10"/>
  <c r="F50" i="10"/>
  <c r="E50" i="10"/>
  <c r="O49" i="10"/>
  <c r="L49" i="10"/>
  <c r="R48" i="10" l="1"/>
  <c r="T49" i="10"/>
  <c r="L58" i="11"/>
  <c r="O58" i="11"/>
  <c r="R57" i="11" s="1"/>
  <c r="I59" i="11"/>
  <c r="F59" i="11"/>
  <c r="E59" i="11"/>
  <c r="V57" i="11"/>
  <c r="Q57" i="11"/>
  <c r="J50" i="10"/>
  <c r="G51" i="10"/>
  <c r="K49" i="10"/>
  <c r="M50" i="10"/>
  <c r="AI48" i="10"/>
  <c r="AK48" i="10" s="1"/>
  <c r="S49" i="10" l="1"/>
  <c r="V49" i="10"/>
  <c r="AD48" i="10" s="1"/>
  <c r="T58" i="11"/>
  <c r="S57" i="11"/>
  <c r="AA57" i="11"/>
  <c r="Y55" i="11"/>
  <c r="M59" i="11"/>
  <c r="K58" i="11"/>
  <c r="J59" i="11"/>
  <c r="G60" i="11"/>
  <c r="AF57" i="11"/>
  <c r="AD57" i="11"/>
  <c r="O50" i="10"/>
  <c r="L50" i="10"/>
  <c r="I51" i="10"/>
  <c r="F51" i="10"/>
  <c r="E51" i="10"/>
  <c r="AH48" i="10"/>
  <c r="R49" i="10" l="1"/>
  <c r="T50" i="10"/>
  <c r="L59" i="11"/>
  <c r="O59" i="11"/>
  <c r="R58" i="11" s="1"/>
  <c r="I60" i="11"/>
  <c r="F60" i="11"/>
  <c r="E60" i="11"/>
  <c r="Z57" i="11"/>
  <c r="AC57" i="11"/>
  <c r="V58" i="11"/>
  <c r="Q58" i="11"/>
  <c r="K50" i="10"/>
  <c r="G52" i="10"/>
  <c r="J51" i="10"/>
  <c r="M51" i="10"/>
  <c r="AI49" i="10"/>
  <c r="AK49" i="10" s="1"/>
  <c r="AF49" i="10"/>
  <c r="AE49" i="10" s="1"/>
  <c r="S50" i="10" l="1"/>
  <c r="V50" i="10"/>
  <c r="AD49" i="10" s="1"/>
  <c r="AD58" i="11"/>
  <c r="AF58" i="11"/>
  <c r="AA58" i="11"/>
  <c r="Y57" i="11"/>
  <c r="T59" i="11"/>
  <c r="S58" i="11"/>
  <c r="M60" i="11"/>
  <c r="K59" i="11"/>
  <c r="J60" i="11"/>
  <c r="G61" i="11"/>
  <c r="AH49" i="10"/>
  <c r="O51" i="10"/>
  <c r="L51" i="10"/>
  <c r="F52" i="10"/>
  <c r="E52" i="10"/>
  <c r="I52" i="10"/>
  <c r="R50" i="10" l="1"/>
  <c r="Y51" i="10"/>
  <c r="AC50" i="10"/>
  <c r="F61" i="11"/>
  <c r="E61" i="11"/>
  <c r="I61" i="11"/>
  <c r="O60" i="11"/>
  <c r="R59" i="11" s="1"/>
  <c r="L60" i="11"/>
  <c r="V59" i="11"/>
  <c r="Q59" i="11"/>
  <c r="AC58" i="11"/>
  <c r="Z58" i="11"/>
  <c r="J52" i="10"/>
  <c r="K51" i="10"/>
  <c r="M52" i="10"/>
  <c r="G53" i="10"/>
  <c r="I53" i="10" s="1"/>
  <c r="K52" i="10" s="1"/>
  <c r="D60" i="10" s="1"/>
  <c r="AF50" i="10"/>
  <c r="AH50" i="10" s="1"/>
  <c r="AF51" i="10" s="1"/>
  <c r="AI50" i="10"/>
  <c r="AK50" i="10" s="1"/>
  <c r="AH51" i="10" l="1"/>
  <c r="C60" i="10"/>
  <c r="I60" i="10" s="1"/>
  <c r="AA51" i="10"/>
  <c r="AD50" i="10" s="1"/>
  <c r="X51" i="10"/>
  <c r="AA59" i="11"/>
  <c r="AC59" i="11" s="1"/>
  <c r="X59" i="11"/>
  <c r="AD59" i="11"/>
  <c r="AF59" i="11"/>
  <c r="Y58" i="11"/>
  <c r="S59" i="11"/>
  <c r="T60" i="11"/>
  <c r="K60" i="11"/>
  <c r="J61" i="11"/>
  <c r="M61" i="11"/>
  <c r="G62" i="11"/>
  <c r="AF52" i="10"/>
  <c r="AH52" i="10" s="1"/>
  <c r="F53" i="10"/>
  <c r="E53" i="10"/>
  <c r="O52" i="10"/>
  <c r="L52" i="10"/>
  <c r="J60" i="10" l="1"/>
  <c r="R51" i="10"/>
  <c r="T52" i="10"/>
  <c r="AC51" i="10"/>
  <c r="O61" i="11"/>
  <c r="R60" i="11" s="1"/>
  <c r="L61" i="11"/>
  <c r="Q60" i="11"/>
  <c r="V60" i="11"/>
  <c r="F62" i="11"/>
  <c r="E62" i="11"/>
  <c r="I62" i="11"/>
  <c r="AA60" i="11"/>
  <c r="AC60" i="11" s="1"/>
  <c r="X60" i="11"/>
  <c r="M53" i="10"/>
  <c r="J53" i="10"/>
  <c r="AI51" i="10"/>
  <c r="AK51" i="10" s="1"/>
  <c r="V52" i="10" l="1"/>
  <c r="S52" i="10"/>
  <c r="Y59" i="11"/>
  <c r="T61" i="11"/>
  <c r="S60" i="11"/>
  <c r="AA61" i="11"/>
  <c r="AC61" i="11" s="1"/>
  <c r="M62" i="11"/>
  <c r="K61" i="11"/>
  <c r="J62" i="11"/>
  <c r="AF60" i="11"/>
  <c r="AD60" i="11"/>
  <c r="O53" i="10"/>
  <c r="L53" i="10"/>
  <c r="AD51" i="10" l="1"/>
  <c r="AC52" i="10"/>
  <c r="R52" i="10"/>
  <c r="T53" i="10"/>
  <c r="C70" i="10"/>
  <c r="O62" i="11"/>
  <c r="R61" i="11" s="1"/>
  <c r="L62" i="11"/>
  <c r="D69" i="11"/>
  <c r="C69" i="11"/>
  <c r="I69" i="11" s="1"/>
  <c r="J69" i="11" s="1"/>
  <c r="Q61" i="11"/>
  <c r="V61" i="11"/>
  <c r="AI52" i="10"/>
  <c r="AK52" i="10" s="1"/>
  <c r="D70" i="10" l="1"/>
  <c r="F70" i="10" s="1"/>
  <c r="E70" i="10"/>
  <c r="C61" i="10"/>
  <c r="I61" i="10" s="1"/>
  <c r="D61" i="10"/>
  <c r="S53" i="10"/>
  <c r="V53" i="10"/>
  <c r="AD52" i="10" s="1"/>
  <c r="D62" i="10" s="1"/>
  <c r="I70" i="11"/>
  <c r="J70" i="11" s="1"/>
  <c r="D70" i="11"/>
  <c r="S61" i="11"/>
  <c r="T62" i="11"/>
  <c r="Y60" i="11"/>
  <c r="X61" i="11"/>
  <c r="AF61" i="11"/>
  <c r="AD61" i="11"/>
  <c r="E69" i="11"/>
  <c r="E61" i="10" l="1"/>
  <c r="I62" i="10"/>
  <c r="J62" i="10" s="1"/>
  <c r="V62" i="11"/>
  <c r="Q62" i="11"/>
  <c r="AF53" i="10"/>
  <c r="AC53" i="10"/>
  <c r="E62" i="10" l="1"/>
  <c r="C72" i="10" s="1"/>
  <c r="AH53" i="10"/>
  <c r="AE53" i="10"/>
  <c r="AA62" i="11"/>
  <c r="AC62" i="11" s="1"/>
  <c r="Y61" i="11"/>
  <c r="S62" i="11"/>
  <c r="X62" i="11"/>
  <c r="AD62" i="11" s="1"/>
  <c r="AI53" i="10"/>
  <c r="D72" i="10" l="1"/>
  <c r="F72" i="10" s="1"/>
  <c r="E72" i="10"/>
  <c r="AK53" i="10"/>
  <c r="AF62" i="11"/>
  <c r="I71" i="11"/>
  <c r="J71" i="11" s="1"/>
  <c r="D71" i="11"/>
  <c r="S17" i="10"/>
  <c r="U17" i="10"/>
  <c r="G61" i="10" l="1"/>
  <c r="F61" i="10"/>
  <c r="AJ17" i="10"/>
  <c r="AK17" i="10" s="1"/>
  <c r="AK54" i="10" s="1"/>
  <c r="H61" i="10" l="1"/>
  <c r="K61" i="10"/>
  <c r="J61" i="10" s="1"/>
  <c r="C71" i="10" l="1"/>
  <c r="E71" i="10" l="1"/>
  <c r="D71" i="10"/>
  <c r="F71" i="10" s="1"/>
</calcChain>
</file>

<file path=xl/sharedStrings.xml><?xml version="1.0" encoding="utf-8"?>
<sst xmlns="http://schemas.openxmlformats.org/spreadsheetml/2006/main" count="1372" uniqueCount="604">
  <si>
    <t>Waiting</t>
  </si>
  <si>
    <t>Idle</t>
  </si>
  <si>
    <t>Service</t>
  </si>
  <si>
    <t>Start</t>
  </si>
  <si>
    <t>End</t>
  </si>
  <si>
    <t>Status</t>
  </si>
  <si>
    <t>Services</t>
  </si>
  <si>
    <t>Lolos</t>
  </si>
  <si>
    <t>Tahap 1 Registrasi</t>
  </si>
  <si>
    <t>Tahap 4 Penyuntikan</t>
  </si>
  <si>
    <t>No
Kedatangan</t>
  </si>
  <si>
    <t>Tanggal Pelaksanaan: Senin, 3 November 2025</t>
  </si>
  <si>
    <t>Tempat Pelaksanaan: Posyandu Sutra Ungu Kecamatan Palaran</t>
  </si>
  <si>
    <t>Kejadian Pasien Meninggalkan Antrean (Balk-Out)</t>
  </si>
  <si>
    <t>No</t>
  </si>
  <si>
    <t>Waktu
Meninggalkan</t>
  </si>
  <si>
    <t>Waktu 
Kembali</t>
  </si>
  <si>
    <t>Melanjutkan</t>
  </si>
  <si>
    <t>Tidak Melanjutkan</t>
  </si>
  <si>
    <t>Tidak Lolos</t>
  </si>
  <si>
    <t/>
  </si>
  <si>
    <t>Jumlah Kedatangan Pasien</t>
  </si>
  <si>
    <t>Total</t>
  </si>
  <si>
    <t>Tahap 1</t>
  </si>
  <si>
    <t>Tahap 2</t>
  </si>
  <si>
    <t>Tahap 3</t>
  </si>
  <si>
    <t>Tahap 4</t>
  </si>
  <si>
    <t>Variabel</t>
  </si>
  <si>
    <t>Jumlah Kedatangan dalam Tiap Tahap</t>
  </si>
  <si>
    <t>Jumlah Peserta Menunggu dalam Tiap Tahap</t>
  </si>
  <si>
    <r>
      <t>Jumlah Peserta Berhenti ke tahap Selanjutnya(</t>
    </r>
    <r>
      <rPr>
        <i/>
        <sz val="11"/>
        <color theme="1"/>
        <rFont val="Times New Roman"/>
        <family val="1"/>
      </rPr>
      <t>Drop-off Rate</t>
    </r>
    <r>
      <rPr>
        <sz val="11"/>
        <color theme="1"/>
        <rFont val="Times New Roman"/>
        <family val="1"/>
      </rPr>
      <t>)</t>
    </r>
  </si>
  <si>
    <t>Jumlah Peserta Imunisasi dan Status Layanan</t>
  </si>
  <si>
    <t>Rata-rata Waktu Tunggu Peserta Tiap Tahap</t>
  </si>
  <si>
    <t xml:space="preserve">Rata-rata Waktu Tunggu Peserta </t>
  </si>
  <si>
    <t>Minimum Waktu Tunggu Peserta Tiap Tahap</t>
  </si>
  <si>
    <t>Rata-rata Waktu Pelayanan Peserta</t>
  </si>
  <si>
    <t>Minimum Waktu Pelayanan Peserta Tiap Tahap</t>
  </si>
  <si>
    <t>Rata-rata Waktu Pelayanan Peserta yang Hanya Sampai Tahap 2</t>
  </si>
  <si>
    <t>Rata-rata Waktu Pelayanan Peserta yang Hanya Sampai Tahap 3</t>
  </si>
  <si>
    <t>Rata-rata Waktu Pelayanan Peserta yang Hanya Sampai Tahap 4</t>
  </si>
  <si>
    <t>Total Services</t>
  </si>
  <si>
    <t>Total Time 
in System</t>
  </si>
  <si>
    <t>Analisis Waktu Pelayanan dan Waktu dalam Sistem</t>
  </si>
  <si>
    <t>Analisis Antrean/Kedatangan</t>
  </si>
  <si>
    <t>Tahap 2 Pengukuran dan Penimbangan</t>
  </si>
  <si>
    <t>Tahap 3 Pemeriksaan Kesehatan</t>
  </si>
  <si>
    <t>Waktu</t>
  </si>
  <si>
    <t>09:00:00-09:30:00</t>
  </si>
  <si>
    <t>09:30:00-10:00:00</t>
  </si>
  <si>
    <t>10:00:00-10:30:00</t>
  </si>
  <si>
    <t>08:00:00-08:30:00</t>
  </si>
  <si>
    <t>08:30:00-09:00:00</t>
  </si>
  <si>
    <t>10:30:00-11:00:00</t>
  </si>
  <si>
    <t>11:00:00-11:30:00</t>
  </si>
  <si>
    <t>11:30:00-12:00:00</t>
  </si>
  <si>
    <t>12:00:00-12:30:00</t>
  </si>
  <si>
    <t>12:30:00-13:00:00</t>
  </si>
  <si>
    <t>13:00:00-13:30:30</t>
  </si>
  <si>
    <t>Jumlah</t>
  </si>
  <si>
    <r>
      <t>Waktu Tunggu Peserta(</t>
    </r>
    <r>
      <rPr>
        <b/>
        <i/>
        <sz val="11"/>
        <color theme="1"/>
        <rFont val="Times New Roman"/>
        <family val="1"/>
      </rPr>
      <t>Waiting Time</t>
    </r>
    <r>
      <rPr>
        <b/>
        <sz val="11"/>
        <color theme="1"/>
        <rFont val="Times New Roman"/>
        <family val="1"/>
      </rPr>
      <t>)</t>
    </r>
  </si>
  <si>
    <r>
      <t>Waktu Pelayanan Peserta dalam Sistem(</t>
    </r>
    <r>
      <rPr>
        <b/>
        <i/>
        <sz val="11"/>
        <color theme="1"/>
        <rFont val="Times New Roman"/>
        <family val="1"/>
      </rPr>
      <t>Services Time</t>
    </r>
    <r>
      <rPr>
        <b/>
        <sz val="11"/>
        <color theme="1"/>
        <rFont val="Times New Roman"/>
        <family val="1"/>
      </rPr>
      <t>)</t>
    </r>
  </si>
  <si>
    <r>
      <t>Rata-rata Waktu Pasien dalam Sistem(</t>
    </r>
    <r>
      <rPr>
        <b/>
        <i/>
        <sz val="11"/>
        <color theme="1"/>
        <rFont val="Times New Roman"/>
        <family val="1"/>
      </rPr>
      <t>Total Time in System</t>
    </r>
    <r>
      <rPr>
        <b/>
        <sz val="11"/>
        <color theme="1"/>
        <rFont val="Times New Roman"/>
        <family val="1"/>
      </rPr>
      <t>)</t>
    </r>
  </si>
  <si>
    <r>
      <t>Jam Ramai(</t>
    </r>
    <r>
      <rPr>
        <b/>
        <i/>
        <sz val="12"/>
        <color theme="1"/>
        <rFont val="Times New Roman"/>
        <family val="1"/>
      </rPr>
      <t>Peak-Hour</t>
    </r>
    <r>
      <rPr>
        <b/>
        <sz val="12"/>
        <color theme="1"/>
        <rFont val="Times New Roman"/>
        <family val="1"/>
      </rPr>
      <t>)</t>
    </r>
  </si>
  <si>
    <r>
      <t>Maksimum Waktu Pasien dalam Sistem(</t>
    </r>
    <r>
      <rPr>
        <b/>
        <i/>
        <sz val="11"/>
        <color theme="1"/>
        <rFont val="Times New Roman"/>
        <family val="1"/>
      </rPr>
      <t>Total Time in System</t>
    </r>
    <r>
      <rPr>
        <b/>
        <sz val="11"/>
        <color theme="1"/>
        <rFont val="Times New Roman"/>
        <family val="1"/>
      </rPr>
      <t>)</t>
    </r>
  </si>
  <si>
    <t>Maksimum Waktu Tunggu Peserta Tiap Tahap</t>
  </si>
  <si>
    <t>Maksimum Waktu Pelayanan Peserta Tiap Tahap</t>
  </si>
  <si>
    <r>
      <t>Rata-rata Waktu Pelayanan Kosong Tiap Tahap (</t>
    </r>
    <r>
      <rPr>
        <i/>
        <sz val="11"/>
        <color theme="1"/>
        <rFont val="Times New Roman"/>
        <family val="1"/>
      </rPr>
      <t>Idle</t>
    </r>
    <r>
      <rPr>
        <sz val="11"/>
        <color theme="1"/>
        <rFont val="Times New Roman"/>
        <family val="1"/>
      </rPr>
      <t>)</t>
    </r>
  </si>
  <si>
    <t>Distribusi Kedatangan Pasien per 30 Menit/Interval Waktu</t>
  </si>
  <si>
    <t>TABEL ANALISIS ANTREAN KEGIATAN IMUNISASI LUARAN UPTD PUSKEMAS PALARAN DI POSYANDU SUTRA UNGU</t>
  </si>
  <si>
    <t>Alasan</t>
  </si>
  <si>
    <r>
      <t>Minimum Waktu Pasien dalam Sistem(</t>
    </r>
    <r>
      <rPr>
        <b/>
        <i/>
        <sz val="11"/>
        <color theme="1"/>
        <rFont val="Times New Roman"/>
        <family val="1"/>
      </rPr>
      <t>Total Time in System</t>
    </r>
    <r>
      <rPr>
        <b/>
        <sz val="11"/>
        <color theme="1"/>
        <rFont val="Times New Roman"/>
        <family val="1"/>
      </rPr>
      <t>)</t>
    </r>
  </si>
  <si>
    <t>Distribusi Beban Kerja Tenaga Kesehatan/Kader</t>
  </si>
  <si>
    <t>Tahap ke-</t>
  </si>
  <si>
    <t>Tidak ingin melakukan vaksinasi</t>
  </si>
  <si>
    <t>Pergi karena melihat antrean terlalu lama/panjang</t>
  </si>
  <si>
    <t>Kembali</t>
  </si>
  <si>
    <t>Tidak Kembali</t>
  </si>
  <si>
    <t>TABEL ANALISIS BEHAVIOR KEGIATAN IMUNISASI LUARAN UPTD PUSKEMAS PALARAN DI POSYANDU SUTRA UNGU</t>
  </si>
  <si>
    <t>Persentase</t>
  </si>
  <si>
    <t>Interval Waktu(menit)</t>
  </si>
  <si>
    <t>60-90</t>
  </si>
  <si>
    <t>&lt;60</t>
  </si>
  <si>
    <t>&gt;90</t>
  </si>
  <si>
    <t>Probabilitas Pasien Menunggu Antrean dalam Interval tertentu</t>
  </si>
  <si>
    <t>Kategori Kepuasan</t>
  </si>
  <si>
    <t>Ideal</t>
  </si>
  <si>
    <t>Sangat Ideal</t>
  </si>
  <si>
    <t>Tidak Ideal</t>
  </si>
  <si>
    <t>Tanggal Pelaksanaan: Kamis, 2 Oktober 2025</t>
  </si>
  <si>
    <t>Interarrival 
Time(Ai​)</t>
  </si>
  <si>
    <t>Arrival 
Time</t>
  </si>
  <si>
    <t>Total Waiting Time</t>
  </si>
  <si>
    <t>Wq</t>
  </si>
  <si>
    <t>W</t>
  </si>
  <si>
    <t>Lq</t>
  </si>
  <si>
    <t>L</t>
  </si>
  <si>
    <t>Paremeter Dasar dan Notasi Model Antrean</t>
  </si>
  <si>
    <t xml:space="preserve">Tahap-i </t>
  </si>
  <si>
    <r>
      <t>σ</t>
    </r>
    <r>
      <rPr>
        <vertAlign val="subscript"/>
        <sz val="11"/>
        <color theme="1"/>
        <rFont val="Calibri"/>
        <family val="2"/>
        <scheme val="minor"/>
      </rPr>
      <t>A</t>
    </r>
    <r>
      <rPr>
        <b/>
        <vertAlign val="subscript"/>
        <sz val="11"/>
        <color theme="1"/>
        <rFont val="Bradley Hand ITC"/>
        <family val="4"/>
      </rPr>
      <t>i​</t>
    </r>
  </si>
  <si>
    <r>
      <t>σ</t>
    </r>
    <r>
      <rPr>
        <vertAlign val="subscript"/>
        <sz val="11"/>
        <color theme="1"/>
        <rFont val="Calibri"/>
        <family val="2"/>
        <scheme val="minor"/>
      </rPr>
      <t>S</t>
    </r>
    <r>
      <rPr>
        <b/>
        <vertAlign val="subscript"/>
        <sz val="11"/>
        <color theme="1"/>
        <rFont val="Bradley Hand ITC"/>
        <family val="4"/>
      </rPr>
      <t>i​</t>
    </r>
  </si>
  <si>
    <r>
      <t>C</t>
    </r>
    <r>
      <rPr>
        <vertAlign val="subscript"/>
        <sz val="11"/>
        <color theme="1"/>
        <rFont val="Calibri"/>
        <family val="2"/>
        <scheme val="minor"/>
      </rPr>
      <t>a</t>
    </r>
    <r>
      <rPr>
        <b/>
        <vertAlign val="subscript"/>
        <sz val="11"/>
        <color theme="1"/>
        <rFont val="Bradley Hand ITC"/>
        <family val="4"/>
      </rPr>
      <t>i</t>
    </r>
  </si>
  <si>
    <r>
      <t>C</t>
    </r>
    <r>
      <rPr>
        <vertAlign val="subscript"/>
        <sz val="11"/>
        <color theme="1"/>
        <rFont val="Calibri"/>
        <family val="2"/>
        <scheme val="minor"/>
      </rPr>
      <t>s</t>
    </r>
    <r>
      <rPr>
        <b/>
        <vertAlign val="subscript"/>
        <sz val="11"/>
        <color theme="1"/>
        <rFont val="Bradley Hand ITC"/>
        <family val="4"/>
      </rPr>
      <t>i</t>
    </r>
  </si>
  <si>
    <r>
      <t>Interarrival 
Time(A</t>
    </r>
    <r>
      <rPr>
        <vertAlign val="subscript"/>
        <sz val="12"/>
        <color theme="1"/>
        <rFont val="Times New Roman"/>
        <family val="1"/>
      </rPr>
      <t>i</t>
    </r>
    <r>
      <rPr>
        <sz val="12"/>
        <color theme="1"/>
        <rFont val="Times New Roman"/>
        <family val="1"/>
      </rPr>
      <t>)</t>
    </r>
  </si>
  <si>
    <r>
      <t>λ</t>
    </r>
    <r>
      <rPr>
        <sz val="11"/>
        <color theme="1"/>
        <rFont val="Blackadder ITC"/>
        <family val="5"/>
      </rPr>
      <t>i</t>
    </r>
  </si>
  <si>
    <r>
      <t>ρ</t>
    </r>
    <r>
      <rPr>
        <sz val="11"/>
        <color theme="1"/>
        <rFont val="Blackadder ITC"/>
        <family val="5"/>
      </rPr>
      <t>i​</t>
    </r>
  </si>
  <si>
    <t>Tahap 3 Pemeriksaan Kesehatan (Server 2)</t>
  </si>
  <si>
    <t>Tahap 3 Pemeriksaan Kesehatan (Server 1)</t>
  </si>
  <si>
    <t>μ</t>
  </si>
  <si>
    <t>Metrik Performa Antrian (Queuing Performance Metrics)</t>
  </si>
  <si>
    <t>Tahap 1 &gt; Membuat skenario baru untuk optimasi antrean agar ρi​(i=3) tidak lebih dari 1</t>
  </si>
  <si>
    <t>Skenario</t>
  </si>
  <si>
    <t>Pada Tahap 3, nilai tingkat kesibukan server (ρ) lebih dari 1 sehingga sistem berada dalam kondisi overload, antrean menumpuk, dan waktu tunggu menjadi sangat tinggi.
Jika jumlah server ditambah, maka kapasitas pelayanan meningkat sehingga nilai ρ akan turun (&lt;1). Dengan berkurangnya ρ, sistem menjadi stabil dan waktu tunggu
pelanggan menurun secara signifikan.</t>
  </si>
  <si>
    <t>Tahap 2 &gt; Menerapkan solusi dari skenario satu, yakni penambahan sever pelayanan pada tahap 3 pada tabel</t>
  </si>
  <si>
    <t>G/G/1</t>
  </si>
  <si>
    <t>G/G/2</t>
  </si>
  <si>
    <t>Tahap 3 &gt; Menghitung parameter dasar sebagai acuan implementasi model antrean pastikan nilai ρi​(i=3)&lt;1 setelah penerapan skenario</t>
  </si>
  <si>
    <t>Tahap 4 &gt; Menghitung metrik performa antrean dengan Queue Theory</t>
  </si>
  <si>
    <t>Parameter Simulasi DES</t>
  </si>
  <si>
    <t>Parameter</t>
  </si>
  <si>
    <t>Nilai</t>
  </si>
  <si>
    <t>Penjelasan</t>
  </si>
  <si>
    <t>REPS</t>
  </si>
  <si>
    <t>WARMUP</t>
  </si>
  <si>
    <t>OBS</t>
  </si>
  <si>
    <t>N_CUSTOMERS</t>
  </si>
  <si>
    <t>Banyaknya pengulangan simulasi (replikasi) untuk memperoleh 
hasil yang stabil dan memiliki interval kepercayaan.</t>
  </si>
  <si>
    <t>Jumlah pelanggan awal yang dibuang untuk menghilangkan bias awal (initial transient) agar sistem mencapai kondisi stabil.</t>
  </si>
  <si>
    <t>Jumlah pelanggan yang diamati setelah warm-up untuk perhitungan Wq, W, Lq, dan L.</t>
  </si>
  <si>
    <t>Total pelanggan yang disimulasikan per replikasi, yaitu WARMUP + OBS.</t>
  </si>
  <si>
    <t>Tahap 5 &gt; Menghitung metrik performa antrean menggunakan simulasi DES(Descret Event Simulation) per tahap</t>
  </si>
  <si>
    <t>Pada Tahap 3, nilai tingkat kesibukan server (ρ) lebih dari 1 sehingga sistem berada dalam kondisi overload, antrean menumpuk, dan waktu tunggu menjadi sangat tinggi. Jika kita dapat membatasi jumlah kedatangan, maka diasumsikan kedatangan akan lebih stabil dan ρ berkurang</t>
  </si>
  <si>
    <t>Tahap 2 &gt; Melakukan pembatasan terhadap kedatangan per periode tertentu</t>
  </si>
  <si>
    <t>08:00:00-12:00:00</t>
  </si>
  <si>
    <t>Asumsi Periode Kedatangan</t>
  </si>
  <si>
    <t>Jumlah Kedatangan = Jumlah Seluruh Kedatangan/Periode Kedatangan</t>
  </si>
  <si>
    <t>Jumlah Kedatangan = 40/4 = 10 Kedatangan/Jam</t>
  </si>
  <si>
    <t>Tahap 3 &gt; Menerapkan solusi dari skenario satu, yakni pembatasan jumlah kedatangan pada tabel</t>
  </si>
  <si>
    <t>Tahap 4 &gt; Menghitung parameter dasar sebagai acuan implementasi model antrean pastikan nilai ρi​(i=3)&lt;1 setelah penerapan skenario</t>
  </si>
  <si>
    <t>Tahap 6 &gt; Menghitung metrik performa antrean menggunakan simulasi DES(Descret Event Simulation) semua tahap</t>
  </si>
  <si>
    <t>Tahap 2 &gt; Menghitung parameter dasar sebagai acuan implementasi model antrean pastikan nilai ρi​&lt;1 untuk semua tahap</t>
  </si>
  <si>
    <t>Tahap 1 &gt; Melakukan pengamatan pada tabel</t>
  </si>
  <si>
    <r>
      <t xml:space="preserve">&lt;=== nilai ρ pada tahap 3 atau ρ3&gt;1 maka perhitungan tidak dapat dilakukan karena sistem sangat tidak stabil, jika dipaksa menggunakan G/G nilai Wq akan negative (tidak valid)
</t>
    </r>
    <r>
      <rPr>
        <b/>
        <sz val="11"/>
        <color theme="1"/>
        <rFont val="Calibri"/>
        <family val="2"/>
        <scheme val="minor"/>
      </rPr>
      <t>Solusi</t>
    </r>
    <r>
      <rPr>
        <sz val="11"/>
        <color theme="1"/>
        <rFont val="Calibri"/>
        <family val="2"/>
        <scheme val="minor"/>
      </rPr>
      <t>: Kurangi ρ3 dengan membatasi jumlah kedatangan atau penambahan sever</t>
    </r>
  </si>
  <si>
    <t>Distribusi Kedatangan Pasien per 60 Menit/Interval Waktu</t>
  </si>
  <si>
    <t>Hasil Forecasting Bulan-3</t>
  </si>
  <si>
    <t>TABEL KEDATANGAN ANTREAN KEGIATAN VAKSINASI LUARAN UPTD PUSKEMAS PALARAN DI POSYANDU SUTRA UNGU</t>
  </si>
  <si>
    <t>Nomor Antrean</t>
  </si>
  <si>
    <t>-</t>
  </si>
  <si>
    <t>Tanggal</t>
  </si>
  <si>
    <t>Trend</t>
  </si>
  <si>
    <t>Seasonal</t>
  </si>
  <si>
    <t>Forecast</t>
  </si>
  <si>
    <t>Error</t>
  </si>
  <si>
    <t>Absolute E</t>
  </si>
  <si>
    <t>Squared E</t>
  </si>
  <si>
    <t>alpha</t>
  </si>
  <si>
    <t>beta</t>
  </si>
  <si>
    <t>gamma</t>
  </si>
  <si>
    <t>MAE</t>
  </si>
  <si>
    <t>RMSE</t>
  </si>
  <si>
    <t>MAPE</t>
  </si>
  <si>
    <t>Intial Trend</t>
  </si>
  <si>
    <t>P1</t>
  </si>
  <si>
    <t>P2</t>
  </si>
  <si>
    <t>P2-P1</t>
  </si>
  <si>
    <t>Level</t>
  </si>
  <si>
    <t>(P2-P1)/5</t>
  </si>
  <si>
    <t>λi</t>
  </si>
  <si>
    <t>ρi​</t>
  </si>
  <si>
    <r>
      <t>σ</t>
    </r>
    <r>
      <rPr>
        <vertAlign val="subscript"/>
        <sz val="10"/>
        <color theme="1"/>
        <rFont val="Times New Roman"/>
        <family val="1"/>
      </rPr>
      <t>A</t>
    </r>
    <r>
      <rPr>
        <b/>
        <vertAlign val="subscript"/>
        <sz val="10"/>
        <color theme="1"/>
        <rFont val="Times New Roman"/>
        <family val="1"/>
      </rPr>
      <t>i​</t>
    </r>
  </si>
  <si>
    <r>
      <t>C</t>
    </r>
    <r>
      <rPr>
        <vertAlign val="subscript"/>
        <sz val="10"/>
        <color theme="1"/>
        <rFont val="Times New Roman"/>
        <family val="1"/>
      </rPr>
      <t>a</t>
    </r>
    <r>
      <rPr>
        <b/>
        <vertAlign val="subscript"/>
        <sz val="10"/>
        <color theme="1"/>
        <rFont val="Times New Roman"/>
        <family val="1"/>
      </rPr>
      <t>i</t>
    </r>
  </si>
  <si>
    <r>
      <t>σ</t>
    </r>
    <r>
      <rPr>
        <vertAlign val="subscript"/>
        <sz val="10"/>
        <color theme="1"/>
        <rFont val="Times New Roman"/>
        <family val="1"/>
      </rPr>
      <t>S</t>
    </r>
    <r>
      <rPr>
        <b/>
        <vertAlign val="subscript"/>
        <sz val="10"/>
        <color theme="1"/>
        <rFont val="Times New Roman"/>
        <family val="1"/>
      </rPr>
      <t>i​</t>
    </r>
  </si>
  <si>
    <r>
      <t>C</t>
    </r>
    <r>
      <rPr>
        <vertAlign val="subscript"/>
        <sz val="10"/>
        <color theme="1"/>
        <rFont val="Times New Roman"/>
        <family val="1"/>
      </rPr>
      <t>s</t>
    </r>
    <r>
      <rPr>
        <b/>
        <vertAlign val="subscript"/>
        <sz val="10"/>
        <color theme="1"/>
        <rFont val="Times New Roman"/>
        <family val="1"/>
      </rPr>
      <t>i</t>
    </r>
  </si>
  <si>
    <t>Model</t>
  </si>
  <si>
    <t>WAKTU KEDATANGAN</t>
  </si>
  <si>
    <t>INTERARRIVAL TIME</t>
  </si>
  <si>
    <t>INTERARRIVAL TIME (MASUK STAGE)</t>
  </si>
  <si>
    <t>WAITING TIME (MASUK STAGE - MASUK QUEUE)</t>
  </si>
  <si>
    <t>SERVICE TIME</t>
  </si>
  <si>
    <t>TOTAL STAGE TIME</t>
  </si>
  <si>
    <t>STAGE 1</t>
  </si>
  <si>
    <t>STAGE 2</t>
  </si>
  <si>
    <t>STAGE 3</t>
  </si>
  <si>
    <t>STAGE 4</t>
  </si>
  <si>
    <t>TOTAL WQ</t>
  </si>
  <si>
    <t>TOTAL SRV</t>
  </si>
  <si>
    <t>08:02:57</t>
  </si>
  <si>
    <t>00:00:33</t>
  </si>
  <si>
    <t>00:00:24</t>
  </si>
  <si>
    <t>00:07:42</t>
  </si>
  <si>
    <t>00:08:37</t>
  </si>
  <si>
    <t>00:00:00</t>
  </si>
  <si>
    <t>00:01:46</t>
  </si>
  <si>
    <t>00:01:13</t>
  </si>
  <si>
    <t>00:13:46</t>
  </si>
  <si>
    <t>00:04:14</t>
  </si>
  <si>
    <t>00:20:59</t>
  </si>
  <si>
    <t>08:03:30</t>
  </si>
  <si>
    <t>00:03:06</t>
  </si>
  <si>
    <t>00:03:10</t>
  </si>
  <si>
    <t>00:11:30</t>
  </si>
  <si>
    <t>00:02:06</t>
  </si>
  <si>
    <t>00:03:54</t>
  </si>
  <si>
    <t>00:01:37</t>
  </si>
  <si>
    <t>00:04:37</t>
  </si>
  <si>
    <t>00:14:41</t>
  </si>
  <si>
    <t>00:04:24</t>
  </si>
  <si>
    <t>00:25:19</t>
  </si>
  <si>
    <t>00:29:13</t>
  </si>
  <si>
    <t>08:06:36</t>
  </si>
  <si>
    <t>00:04:27</t>
  </si>
  <si>
    <t>00:05:14</t>
  </si>
  <si>
    <t>00:06:58</t>
  </si>
  <si>
    <t>00:01:40</t>
  </si>
  <si>
    <t>00:09:05</t>
  </si>
  <si>
    <t>00:13:26</t>
  </si>
  <si>
    <t>00:01:41</t>
  </si>
  <si>
    <t>00:03:25</t>
  </si>
  <si>
    <t>00:05:17</t>
  </si>
  <si>
    <t>00:04:39</t>
  </si>
  <si>
    <t>00:15:02</t>
  </si>
  <si>
    <t>00:28:28</t>
  </si>
  <si>
    <t>08:11:04</t>
  </si>
  <si>
    <t>00:00:47</t>
  </si>
  <si>
    <t>00:02:16</t>
  </si>
  <si>
    <t>00:03:03</t>
  </si>
  <si>
    <t>00:01:09</t>
  </si>
  <si>
    <t>00:01:08</t>
  </si>
  <si>
    <t>00:02:17</t>
  </si>
  <si>
    <t>00:05:20</t>
  </si>
  <si>
    <t>08:11:36</t>
  </si>
  <si>
    <t>00:02:24</t>
  </si>
  <si>
    <t>00:03:50</t>
  </si>
  <si>
    <t>00:03:27</t>
  </si>
  <si>
    <t>00:14:14</t>
  </si>
  <si>
    <t>00:12:18</t>
  </si>
  <si>
    <t>00:10:59</t>
  </si>
  <si>
    <t>00:02:18</t>
  </si>
  <si>
    <t>00:01:55</t>
  </si>
  <si>
    <t>00:12:42</t>
  </si>
  <si>
    <t>00:02:09</t>
  </si>
  <si>
    <t>00:19:04</t>
  </si>
  <si>
    <t>00:30:03</t>
  </si>
  <si>
    <t>08:14:01</t>
  </si>
  <si>
    <t>00:10:24</t>
  </si>
  <si>
    <t>00:08:58</t>
  </si>
  <si>
    <t>00:10:06</t>
  </si>
  <si>
    <t>00:16:50</t>
  </si>
  <si>
    <t>00:16:43</t>
  </si>
  <si>
    <t>00:01:26</t>
  </si>
  <si>
    <t>00:00:16</t>
  </si>
  <si>
    <t>00:19:39</t>
  </si>
  <si>
    <t>00:21:21</t>
  </si>
  <si>
    <t>00:01:39</t>
  </si>
  <si>
    <t>00:04:02</t>
  </si>
  <si>
    <t>00:10:46</t>
  </si>
  <si>
    <t>00:06:18</t>
  </si>
  <si>
    <t>00:22:45</t>
  </si>
  <si>
    <t>00:44:06</t>
  </si>
  <si>
    <t>08:24:25</t>
  </si>
  <si>
    <t>00:01:19</t>
  </si>
  <si>
    <t>00:02:44</t>
  </si>
  <si>
    <t>00:02:31</t>
  </si>
  <si>
    <t>00:15:04</t>
  </si>
  <si>
    <t>00:00:26</t>
  </si>
  <si>
    <t>00:28:21</t>
  </si>
  <si>
    <t>00:28:47</t>
  </si>
  <si>
    <t>00:02:37</t>
  </si>
  <si>
    <t>00:02:04</t>
  </si>
  <si>
    <t>00:10:39</t>
  </si>
  <si>
    <t>00:07:12</t>
  </si>
  <si>
    <t>00:22:32</t>
  </si>
  <si>
    <t>00:51:19</t>
  </si>
  <si>
    <t>08:25:44</t>
  </si>
  <si>
    <t>00:00:58</t>
  </si>
  <si>
    <t>00:02:36</t>
  </si>
  <si>
    <t>00:04:21</t>
  </si>
  <si>
    <t>00:14:43</t>
  </si>
  <si>
    <t>00:05:18</t>
  </si>
  <si>
    <t>00:01:25</t>
  </si>
  <si>
    <t>00:34:05</t>
  </si>
  <si>
    <t>00:35:30</t>
  </si>
  <si>
    <t>00:02:50</t>
  </si>
  <si>
    <t>00:04:35</t>
  </si>
  <si>
    <t>00:14:57</t>
  </si>
  <si>
    <t>00:02:21</t>
  </si>
  <si>
    <t>00:24:43</t>
  </si>
  <si>
    <t>01:00:13</t>
  </si>
  <si>
    <t>08:26:41</t>
  </si>
  <si>
    <t>00:00:41</t>
  </si>
  <si>
    <t>00:01:52</t>
  </si>
  <si>
    <t>00:02:01</t>
  </si>
  <si>
    <t>00:04:36</t>
  </si>
  <si>
    <t>00:12:41</t>
  </si>
  <si>
    <t>00:01:47</t>
  </si>
  <si>
    <t>00:46:05</t>
  </si>
  <si>
    <t>00:50:55</t>
  </si>
  <si>
    <t>00:02:48</t>
  </si>
  <si>
    <t>00:02:57</t>
  </si>
  <si>
    <t>00:05:32</t>
  </si>
  <si>
    <t>00:06:01</t>
  </si>
  <si>
    <t>00:17:18</t>
  </si>
  <si>
    <t>01:08:13</t>
  </si>
  <si>
    <t>08:27:22</t>
  </si>
  <si>
    <t>00:00:27</t>
  </si>
  <si>
    <t>00:00:37</t>
  </si>
  <si>
    <t>00:12:48</t>
  </si>
  <si>
    <t>00:06:00</t>
  </si>
  <si>
    <t>00:03:18</t>
  </si>
  <si>
    <t>00:49:01</t>
  </si>
  <si>
    <t>00:56:33</t>
  </si>
  <si>
    <t>00:13:37</t>
  </si>
  <si>
    <t>00:05:58</t>
  </si>
  <si>
    <t>00:23:37</t>
  </si>
  <si>
    <t>01:20:10</t>
  </si>
  <si>
    <t>08:27:49</t>
  </si>
  <si>
    <t>00:04:50</t>
  </si>
  <si>
    <t>00:07:24</t>
  </si>
  <si>
    <t>00:08:18</t>
  </si>
  <si>
    <t>00:04:28</t>
  </si>
  <si>
    <t>00:58:23</t>
  </si>
  <si>
    <t>01:07:15</t>
  </si>
  <si>
    <t>00:04:15</t>
  </si>
  <si>
    <t>00:06:49</t>
  </si>
  <si>
    <t>00:07:29</t>
  </si>
  <si>
    <t>00:19:59</t>
  </si>
  <si>
    <t>01:27:14</t>
  </si>
  <si>
    <t>08:30:36</t>
  </si>
  <si>
    <t>00:09:13</t>
  </si>
  <si>
    <t>00:07:31</t>
  </si>
  <si>
    <t>00:06:29</t>
  </si>
  <si>
    <t>00:12:43</t>
  </si>
  <si>
    <t>00:11:22</t>
  </si>
  <si>
    <t>00:03:37</t>
  </si>
  <si>
    <t>00:06:12</t>
  </si>
  <si>
    <t>01:03:43</t>
  </si>
  <si>
    <t>01:13:32</t>
  </si>
  <si>
    <t>00:01:29</t>
  </si>
  <si>
    <t>00:07:43</t>
  </si>
  <si>
    <t>00:06:22</t>
  </si>
  <si>
    <t>00:18:05</t>
  </si>
  <si>
    <t>01:31:37</t>
  </si>
  <si>
    <t>08:39:49</t>
  </si>
  <si>
    <t>00:05:47</t>
  </si>
  <si>
    <t>00:05:30</t>
  </si>
  <si>
    <t>00:08:02</t>
  </si>
  <si>
    <t>00:15:11</t>
  </si>
  <si>
    <t>00:14:47</t>
  </si>
  <si>
    <t>01:06:45</t>
  </si>
  <si>
    <t>00:00:03</t>
  </si>
  <si>
    <t>01:14:15</t>
  </si>
  <si>
    <t>00:04:41</t>
  </si>
  <si>
    <t>00:06:19</t>
  </si>
  <si>
    <t>00:04:42</t>
  </si>
  <si>
    <t>00:17:51</t>
  </si>
  <si>
    <t>01:32:06</t>
  </si>
  <si>
    <t>08:45:36</t>
  </si>
  <si>
    <t>00:06:50</t>
  </si>
  <si>
    <t>00:08:11</t>
  </si>
  <si>
    <t>00:06:35</t>
  </si>
  <si>
    <t>00:01:38</t>
  </si>
  <si>
    <t>00:07:33</t>
  </si>
  <si>
    <t>00:09:11</t>
  </si>
  <si>
    <t>00:02:40</t>
  </si>
  <si>
    <t>00:01:04</t>
  </si>
  <si>
    <t>00:03:44</t>
  </si>
  <si>
    <t>00:12:55</t>
  </si>
  <si>
    <t>08:52:26</t>
  </si>
  <si>
    <t>00:01:32</t>
  </si>
  <si>
    <t>00:04:18</t>
  </si>
  <si>
    <t>00:02:59</t>
  </si>
  <si>
    <t>00:06:42</t>
  </si>
  <si>
    <t>01:09:42</t>
  </si>
  <si>
    <t>01:19:23</t>
  </si>
  <si>
    <t>00:07:35</t>
  </si>
  <si>
    <t>00:17:46</t>
  </si>
  <si>
    <t>01:37:09</t>
  </si>
  <si>
    <t>08:54:30</t>
  </si>
  <si>
    <t>00:01:34</t>
  </si>
  <si>
    <t>00:01:03</t>
  </si>
  <si>
    <t>00:09:02</t>
  </si>
  <si>
    <t>00:02:02</t>
  </si>
  <si>
    <t>00:01:57</t>
  </si>
  <si>
    <t>00:03:59</t>
  </si>
  <si>
    <t>00:13:01</t>
  </si>
  <si>
    <t>08:56:05</t>
  </si>
  <si>
    <t>00:06:07</t>
  </si>
  <si>
    <t>00:04:29</t>
  </si>
  <si>
    <t>00:09:00</t>
  </si>
  <si>
    <t>00:05:27</t>
  </si>
  <si>
    <t>01:09:45</t>
  </si>
  <si>
    <t>01:17:58</t>
  </si>
  <si>
    <t>00:02:20</t>
  </si>
  <si>
    <t>00:03:58</t>
  </si>
  <si>
    <t>00:13:10</t>
  </si>
  <si>
    <t>00:03:51</t>
  </si>
  <si>
    <t>00:23:19</t>
  </si>
  <si>
    <t>01:41:17</t>
  </si>
  <si>
    <t>09:02:11</t>
  </si>
  <si>
    <t>00:03:12</t>
  </si>
  <si>
    <t>00:01:15</t>
  </si>
  <si>
    <t>00:05:48</t>
  </si>
  <si>
    <t>00:11:04</t>
  </si>
  <si>
    <t>01:18:00</t>
  </si>
  <si>
    <t>01:20:17</t>
  </si>
  <si>
    <t>00:04:55</t>
  </si>
  <si>
    <t>00:09:37</t>
  </si>
  <si>
    <t>00:03:21</t>
  </si>
  <si>
    <t>00:19:50</t>
  </si>
  <si>
    <t>01:40:07</t>
  </si>
  <si>
    <t>09:05:23</t>
  </si>
  <si>
    <t>00:11:56</t>
  </si>
  <si>
    <t>00:12:08</t>
  </si>
  <si>
    <t>00:18:13</t>
  </si>
  <si>
    <t>00:24:30</t>
  </si>
  <si>
    <t>01:24:11</t>
  </si>
  <si>
    <t>00:03:17</t>
  </si>
  <si>
    <t>00:14:53</t>
  </si>
  <si>
    <t>00:07:22</t>
  </si>
  <si>
    <t>00:27:49</t>
  </si>
  <si>
    <t>01:52:00</t>
  </si>
  <si>
    <t>09:17:20</t>
  </si>
  <si>
    <t>00:04:08</t>
  </si>
  <si>
    <t>00:05:51</t>
  </si>
  <si>
    <t>00:11:38</t>
  </si>
  <si>
    <t>01:29:21</t>
  </si>
  <si>
    <t>00:02:29</t>
  </si>
  <si>
    <t>00:04:12</t>
  </si>
  <si>
    <t>00:09:59</t>
  </si>
  <si>
    <t>00:16:40</t>
  </si>
  <si>
    <t>01:46:01</t>
  </si>
  <si>
    <t>09:20:57</t>
  </si>
  <si>
    <t>00:00:55</t>
  </si>
  <si>
    <t>00:11:46</t>
  </si>
  <si>
    <t>00:00:31</t>
  </si>
  <si>
    <t>01:35:02</t>
  </si>
  <si>
    <t>01:38:02</t>
  </si>
  <si>
    <t>00:01:43</t>
  </si>
  <si>
    <t>00:09:31</t>
  </si>
  <si>
    <t>00:06:24</t>
  </si>
  <si>
    <t>00:21:56</t>
  </si>
  <si>
    <t>01:59:58</t>
  </si>
  <si>
    <t>09:21:52</t>
  </si>
  <si>
    <t>00:09:58</t>
  </si>
  <si>
    <t>00:11:49</t>
  </si>
  <si>
    <t>00:14:38</t>
  </si>
  <si>
    <t>00:23:33</t>
  </si>
  <si>
    <t>00:18:56</t>
  </si>
  <si>
    <t>01:39:44</t>
  </si>
  <si>
    <t>01:43:52</t>
  </si>
  <si>
    <t>00:02:00</t>
  </si>
  <si>
    <t>00:04:49</t>
  </si>
  <si>
    <t>00:13:44</t>
  </si>
  <si>
    <t>00:02:55</t>
  </si>
  <si>
    <t>00:23:28</t>
  </si>
  <si>
    <t>02:07:20</t>
  </si>
  <si>
    <t>09:31:50</t>
  </si>
  <si>
    <t>00:08:29</t>
  </si>
  <si>
    <t>00:08:21</t>
  </si>
  <si>
    <t>00:10:54</t>
  </si>
  <si>
    <t>00:15:30</t>
  </si>
  <si>
    <t>00:12:49</t>
  </si>
  <si>
    <t>00:01:51</t>
  </si>
  <si>
    <t>00:06:59</t>
  </si>
  <si>
    <t>01:48:57</t>
  </si>
  <si>
    <t>01:57:47</t>
  </si>
  <si>
    <t>00:01:58</t>
  </si>
  <si>
    <t>00:04:31</t>
  </si>
  <si>
    <t>00:09:07</t>
  </si>
  <si>
    <t>00:05:57</t>
  </si>
  <si>
    <t>00:21:33</t>
  </si>
  <si>
    <t>02:19:20</t>
  </si>
  <si>
    <t>09:40:19</t>
  </si>
  <si>
    <t>00:03:29</t>
  </si>
  <si>
    <t>00:04:43</t>
  </si>
  <si>
    <t>00:07:39</t>
  </si>
  <si>
    <t>00:16:58</t>
  </si>
  <si>
    <t>00:09:32</t>
  </si>
  <si>
    <t>01:53:10</t>
  </si>
  <si>
    <t>02:04:25</t>
  </si>
  <si>
    <t>00:04:54</t>
  </si>
  <si>
    <t>00:06:26</t>
  </si>
  <si>
    <t>00:07:14</t>
  </si>
  <si>
    <t>00:20:32</t>
  </si>
  <si>
    <t>02:24:57</t>
  </si>
  <si>
    <t>09:43:48</t>
  </si>
  <si>
    <t>00:01:01</t>
  </si>
  <si>
    <t>00:12:25</t>
  </si>
  <si>
    <t>00:11:34</t>
  </si>
  <si>
    <t>01:57:11</t>
  </si>
  <si>
    <t>02:11:42</t>
  </si>
  <si>
    <t>00:02:52</t>
  </si>
  <si>
    <t>00:02:25</t>
  </si>
  <si>
    <t>00:14:13</t>
  </si>
  <si>
    <t>00:07:36</t>
  </si>
  <si>
    <t>00:27:06</t>
  </si>
  <si>
    <t>02:38:48</t>
  </si>
  <si>
    <t>09:44:49</t>
  </si>
  <si>
    <t>00:00:23</t>
  </si>
  <si>
    <t>00:00:05</t>
  </si>
  <si>
    <t>00:08:27</t>
  </si>
  <si>
    <t>00:04:57</t>
  </si>
  <si>
    <t>00:03:00</t>
  </si>
  <si>
    <t>00:12:15</t>
  </si>
  <si>
    <t>02:06:42</t>
  </si>
  <si>
    <t>02:21:57</t>
  </si>
  <si>
    <t>00:01:44</t>
  </si>
  <si>
    <t>00:06:34</t>
  </si>
  <si>
    <t>00:23:06</t>
  </si>
  <si>
    <t>02:45:03</t>
  </si>
  <si>
    <t>09:45:12</t>
  </si>
  <si>
    <t>00:00:44</t>
  </si>
  <si>
    <t>00:19:06</t>
  </si>
  <si>
    <t>00:02:42</t>
  </si>
  <si>
    <t>00:15:23</t>
  </si>
  <si>
    <t>02:12:52</t>
  </si>
  <si>
    <t>02:30:57</t>
  </si>
  <si>
    <t>00:03:56</t>
  </si>
  <si>
    <t>00:06:36</t>
  </si>
  <si>
    <t>00:03:11</t>
  </si>
  <si>
    <t>00:15:17</t>
  </si>
  <si>
    <t>02:46:14</t>
  </si>
  <si>
    <t>09:45:57</t>
  </si>
  <si>
    <t>00:05:39</t>
  </si>
  <si>
    <t>00:06:04</t>
  </si>
  <si>
    <t>00:05:09</t>
  </si>
  <si>
    <t>00:16:05</t>
  </si>
  <si>
    <t>00:10:12</t>
  </si>
  <si>
    <t>02:18:15</t>
  </si>
  <si>
    <t>02:28:27</t>
  </si>
  <si>
    <t>00:02:08</t>
  </si>
  <si>
    <t>00:12:09</t>
  </si>
  <si>
    <t>02:43:57</t>
  </si>
  <si>
    <t>09:51:35</t>
  </si>
  <si>
    <t>00:03:31</t>
  </si>
  <si>
    <t>00:04:10</t>
  </si>
  <si>
    <t>00:15:21</t>
  </si>
  <si>
    <t>00:12:50</t>
  </si>
  <si>
    <t>00:00:25</t>
  </si>
  <si>
    <t>00:09:04</t>
  </si>
  <si>
    <t>02:26:55</t>
  </si>
  <si>
    <t>02:36:24</t>
  </si>
  <si>
    <t>00:13:32</t>
  </si>
  <si>
    <t>00:06:44</t>
  </si>
  <si>
    <t>00:26:06</t>
  </si>
  <si>
    <t>03:02:30</t>
  </si>
  <si>
    <t>09:55:06</t>
  </si>
  <si>
    <t>00:03:55</t>
  </si>
  <si>
    <t>00:02:51</t>
  </si>
  <si>
    <t>00:06:51</t>
  </si>
  <si>
    <t>00:13:58</t>
  </si>
  <si>
    <t>00:10:43</t>
  </si>
  <si>
    <t>02:38:55</t>
  </si>
  <si>
    <t>02:50:42</t>
  </si>
  <si>
    <t>00:01:50</t>
  </si>
  <si>
    <t>00:11:01</t>
  </si>
  <si>
    <t>00:02:12</t>
  </si>
  <si>
    <t>00:16:35</t>
  </si>
  <si>
    <t>03:07:17</t>
  </si>
  <si>
    <t>09:59:02</t>
  </si>
  <si>
    <t>00:00:29</t>
  </si>
  <si>
    <t>00:04:59</t>
  </si>
  <si>
    <t>02:47:29</t>
  </si>
  <si>
    <t>02:52:28</t>
  </si>
  <si>
    <t>00:02:05</t>
  </si>
  <si>
    <t>00:02:27</t>
  </si>
  <si>
    <t>00:10:56</t>
  </si>
  <si>
    <t>03:03:24</t>
  </si>
  <si>
    <t>09:59:30</t>
  </si>
  <si>
    <t>00:07:02</t>
  </si>
  <si>
    <t>00:05:53</t>
  </si>
  <si>
    <t>00:12:02</t>
  </si>
  <si>
    <t>00:12:40</t>
  </si>
  <si>
    <t>00:05:06</t>
  </si>
  <si>
    <t>02:49:36</t>
  </si>
  <si>
    <t>02:55:51</t>
  </si>
  <si>
    <t>00:04:17</t>
  </si>
  <si>
    <t>00:12:11</t>
  </si>
  <si>
    <t>00:06:32</t>
  </si>
  <si>
    <t>00:25:20</t>
  </si>
  <si>
    <t>03:21:11</t>
  </si>
  <si>
    <t>10:06:33</t>
  </si>
  <si>
    <t>00:05:34</t>
  </si>
  <si>
    <t>00:03:39</t>
  </si>
  <si>
    <t>02:59:42</t>
  </si>
  <si>
    <t>03:03:21</t>
  </si>
  <si>
    <t>00:03:52</t>
  </si>
  <si>
    <t>00:20:48</t>
  </si>
  <si>
    <t>03:24:09</t>
  </si>
  <si>
    <t>10:07:17</t>
  </si>
  <si>
    <t>00:10:13</t>
  </si>
  <si>
    <t>00:11:20</t>
  </si>
  <si>
    <t>03:08:16</t>
  </si>
  <si>
    <t>00:02:32</t>
  </si>
  <si>
    <t>00:01:30</t>
  </si>
  <si>
    <t>00:04:11</t>
  </si>
  <si>
    <t>00:14:37</t>
  </si>
  <si>
    <t>03:22:53</t>
  </si>
  <si>
    <t>10:19:58</t>
  </si>
  <si>
    <t>03:04:35</t>
  </si>
  <si>
    <t>00:02:33</t>
  </si>
  <si>
    <t>00:02:41</t>
  </si>
  <si>
    <t>00:17:35</t>
  </si>
  <si>
    <t>03:22:10</t>
  </si>
  <si>
    <t>Tanggal Pelaksanaan: 2 Oktober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</si>
</sst>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hh:mm:ss;@"/>
    <numFmt numFmtId="165" formatCode="[$-13809]d\ mmm\ yyyy;@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theme="0"/>
      <name val="Times New Roman"/>
      <family val="1"/>
    </font>
    <font>
      <b/>
      <i/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0"/>
      <name val="Times New Roman"/>
      <family val="1"/>
    </font>
    <font>
      <vertAlign val="subscript"/>
      <sz val="11"/>
      <color theme="1"/>
      <name val="Calibri"/>
      <family val="2"/>
      <scheme val="minor"/>
    </font>
    <font>
      <sz val="11"/>
      <color theme="1"/>
      <name val="Blackadder ITC"/>
      <family val="5"/>
    </font>
    <font>
      <b/>
      <vertAlign val="subscript"/>
      <sz val="11"/>
      <color theme="1"/>
      <name val="Bradley Hand ITC"/>
      <family val="4"/>
    </font>
    <font>
      <vertAlign val="subscript"/>
      <sz val="12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0"/>
      <name val="Times New Roman"/>
      <family val="1"/>
    </font>
    <font>
      <vertAlign val="subscript"/>
      <sz val="10"/>
      <color theme="1"/>
      <name val="Times New Roman"/>
      <family val="1"/>
    </font>
    <font>
      <b/>
      <vertAlign val="subscript"/>
      <sz val="10"/>
      <color theme="1"/>
      <name val="Times New Roman"/>
      <family val="1"/>
    </font>
    <font>
      <sz val="12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65C8F"/>
        <bgColor indexed="64"/>
      </patternFill>
    </fill>
    <fill>
      <patternFill patternType="solid">
        <fgColor rgb="FFFDD7E4"/>
        <bgColor indexed="64"/>
      </patternFill>
    </fill>
    <fill>
      <patternFill patternType="solid">
        <fgColor rgb="FFFEECF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FFC40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6EBF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DAD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9797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164" fontId="1" fillId="5" borderId="1" xfId="0" applyNumberFormat="1" applyFont="1" applyFill="1" applyBorder="1"/>
    <xf numFmtId="164" fontId="1" fillId="4" borderId="1" xfId="0" applyNumberFormat="1" applyFon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164" fontId="1" fillId="3" borderId="1" xfId="0" applyNumberFormat="1" applyFont="1" applyFill="1" applyBorder="1"/>
    <xf numFmtId="0" fontId="1" fillId="5" borderId="3" xfId="0" applyFont="1" applyFill="1" applyBorder="1" applyAlignment="1">
      <alignment horizontal="center" vertical="center"/>
    </xf>
    <xf numFmtId="164" fontId="1" fillId="4" borderId="4" xfId="0" applyNumberFormat="1" applyFont="1" applyFill="1" applyBorder="1"/>
    <xf numFmtId="164" fontId="1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0" fontId="3" fillId="12" borderId="1" xfId="0" applyFont="1" applyFill="1" applyBorder="1"/>
    <xf numFmtId="0" fontId="3" fillId="12" borderId="1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164" fontId="1" fillId="6" borderId="1" xfId="0" applyNumberFormat="1" applyFont="1" applyFill="1" applyBorder="1"/>
    <xf numFmtId="0" fontId="0" fillId="12" borderId="1" xfId="0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/>
    </xf>
    <xf numFmtId="164" fontId="1" fillId="19" borderId="1" xfId="0" applyNumberFormat="1" applyFont="1" applyFill="1" applyBorder="1" applyAlignment="1">
      <alignment horizontal="center"/>
    </xf>
    <xf numFmtId="0" fontId="12" fillId="18" borderId="1" xfId="0" applyFont="1" applyFill="1" applyBorder="1" applyAlignment="1">
      <alignment horizontal="center"/>
    </xf>
    <xf numFmtId="164" fontId="1" fillId="12" borderId="1" xfId="0" applyNumberFormat="1" applyFont="1" applyFill="1" applyBorder="1" applyAlignment="1">
      <alignment horizontal="center" vertical="center"/>
    </xf>
    <xf numFmtId="164" fontId="1" fillId="19" borderId="1" xfId="0" applyNumberFormat="1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left" vertical="center"/>
    </xf>
    <xf numFmtId="164" fontId="1" fillId="19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164" fontId="1" fillId="3" borderId="4" xfId="0" applyNumberFormat="1" applyFont="1" applyFill="1" applyBorder="1"/>
    <xf numFmtId="0" fontId="0" fillId="0" borderId="1" xfId="0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164" fontId="1" fillId="12" borderId="1" xfId="0" applyNumberFormat="1" applyFont="1" applyFill="1" applyBorder="1"/>
    <xf numFmtId="164" fontId="1" fillId="12" borderId="4" xfId="0" applyNumberFormat="1" applyFont="1" applyFill="1" applyBorder="1"/>
    <xf numFmtId="164" fontId="1" fillId="12" borderId="1" xfId="0" applyNumberFormat="1" applyFont="1" applyFill="1" applyBorder="1" applyAlignment="1">
      <alignment horizontal="center"/>
    </xf>
    <xf numFmtId="164" fontId="1" fillId="12" borderId="1" xfId="0" applyNumberFormat="1" applyFont="1" applyFill="1" applyBorder="1" applyAlignment="1">
      <alignment horizontal="right" vertical="center"/>
    </xf>
    <xf numFmtId="0" fontId="1" fillId="21" borderId="1" xfId="0" applyFont="1" applyFill="1" applyBorder="1" applyAlignment="1">
      <alignment horizontal="center"/>
    </xf>
    <xf numFmtId="164" fontId="1" fillId="21" borderId="1" xfId="0" applyNumberFormat="1" applyFont="1" applyFill="1" applyBorder="1"/>
    <xf numFmtId="164" fontId="1" fillId="21" borderId="1" xfId="0" applyNumberFormat="1" applyFont="1" applyFill="1" applyBorder="1" applyAlignment="1">
      <alignment horizontal="center" vertical="center"/>
    </xf>
    <xf numFmtId="164" fontId="1" fillId="21" borderId="4" xfId="0" applyNumberFormat="1" applyFont="1" applyFill="1" applyBorder="1"/>
    <xf numFmtId="164" fontId="1" fillId="21" borderId="1" xfId="0" applyNumberFormat="1" applyFont="1" applyFill="1" applyBorder="1" applyAlignment="1">
      <alignment horizontal="center"/>
    </xf>
    <xf numFmtId="164" fontId="1" fillId="21" borderId="1" xfId="0" applyNumberFormat="1" applyFont="1" applyFill="1" applyBorder="1" applyAlignment="1">
      <alignment horizontal="right" vertical="center"/>
    </xf>
    <xf numFmtId="0" fontId="1" fillId="17" borderId="1" xfId="0" applyFont="1" applyFill="1" applyBorder="1" applyAlignment="1">
      <alignment horizontal="center"/>
    </xf>
    <xf numFmtId="164" fontId="1" fillId="17" borderId="1" xfId="0" applyNumberFormat="1" applyFont="1" applyFill="1" applyBorder="1"/>
    <xf numFmtId="164" fontId="1" fillId="17" borderId="1" xfId="0" applyNumberFormat="1" applyFont="1" applyFill="1" applyBorder="1" applyAlignment="1">
      <alignment horizontal="center" vertical="center"/>
    </xf>
    <xf numFmtId="164" fontId="1" fillId="17" borderId="4" xfId="0" applyNumberFormat="1" applyFont="1" applyFill="1" applyBorder="1"/>
    <xf numFmtId="164" fontId="1" fillId="17" borderId="1" xfId="0" applyNumberFormat="1" applyFont="1" applyFill="1" applyBorder="1" applyAlignment="1">
      <alignment horizontal="center"/>
    </xf>
    <xf numFmtId="164" fontId="1" fillId="17" borderId="1" xfId="0" applyNumberFormat="1" applyFont="1" applyFill="1" applyBorder="1" applyAlignment="1">
      <alignment horizontal="right" vertical="center"/>
    </xf>
    <xf numFmtId="0" fontId="1" fillId="1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164" fontId="1" fillId="2" borderId="4" xfId="0" applyNumberFormat="1" applyFont="1" applyFill="1" applyBorder="1"/>
    <xf numFmtId="164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right" vertic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0" fillId="0" borderId="1" xfId="0" applyBorder="1"/>
    <xf numFmtId="0" fontId="0" fillId="2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8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/>
    </xf>
    <xf numFmtId="0" fontId="19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64" fontId="1" fillId="6" borderId="2" xfId="0" applyNumberFormat="1" applyFont="1" applyFill="1" applyBorder="1"/>
    <xf numFmtId="0" fontId="0" fillId="0" borderId="9" xfId="0" applyBorder="1"/>
    <xf numFmtId="164" fontId="1" fillId="0" borderId="9" xfId="0" applyNumberFormat="1" applyFont="1" applyBorder="1"/>
    <xf numFmtId="164" fontId="1" fillId="0" borderId="0" xfId="0" applyNumberFormat="1" applyFont="1" applyAlignment="1">
      <alignment horizontal="right" vertical="center"/>
    </xf>
    <xf numFmtId="0" fontId="0" fillId="2" borderId="1" xfId="0" applyFill="1" applyBorder="1"/>
    <xf numFmtId="0" fontId="18" fillId="2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5" borderId="1" xfId="0" applyFill="1" applyBorder="1"/>
    <xf numFmtId="0" fontId="18" fillId="0" borderId="0" xfId="0" applyFont="1" applyAlignment="1">
      <alignment vertical="center"/>
    </xf>
    <xf numFmtId="164" fontId="1" fillId="19" borderId="1" xfId="0" applyNumberFormat="1" applyFont="1" applyFill="1" applyBorder="1" applyAlignment="1">
      <alignment horizontal="left" vertical="center"/>
    </xf>
    <xf numFmtId="0" fontId="20" fillId="19" borderId="1" xfId="0" applyFont="1" applyFill="1" applyBorder="1" applyAlignment="1">
      <alignment horizontal="center" vertical="center"/>
    </xf>
    <xf numFmtId="165" fontId="20" fillId="0" borderId="1" xfId="0" applyNumberFormat="1" applyFont="1" applyBorder="1" applyAlignment="1">
      <alignment horizontal="left" vertic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/>
    <xf numFmtId="0" fontId="20" fillId="2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4" fillId="3" borderId="15" xfId="0" applyFont="1" applyFill="1" applyBorder="1" applyAlignment="1">
      <alignment horizontal="center" vertical="center" wrapText="1"/>
    </xf>
    <xf numFmtId="0" fontId="24" fillId="3" borderId="16" xfId="0" applyFont="1" applyFill="1" applyBorder="1" applyAlignment="1">
      <alignment horizontal="center" vertical="center" wrapText="1"/>
    </xf>
    <xf numFmtId="0" fontId="24" fillId="5" borderId="15" xfId="0" applyFont="1" applyFill="1" applyBorder="1" applyAlignment="1">
      <alignment horizontal="center" vertical="center" wrapText="1"/>
    </xf>
    <xf numFmtId="0" fontId="24" fillId="5" borderId="17" xfId="0" applyFont="1" applyFill="1" applyBorder="1" applyAlignment="1">
      <alignment horizontal="center" vertical="center" wrapText="1"/>
    </xf>
    <xf numFmtId="0" fontId="24" fillId="4" borderId="15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/>
    </xf>
    <xf numFmtId="0" fontId="7" fillId="13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164" fontId="3" fillId="7" borderId="2" xfId="0" applyNumberFormat="1" applyFont="1" applyFill="1" applyBorder="1" applyAlignment="1">
      <alignment horizontal="center" vertical="center"/>
    </xf>
    <xf numFmtId="164" fontId="3" fillId="7" borderId="7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left" vertical="center" wrapText="1"/>
    </xf>
    <xf numFmtId="164" fontId="3" fillId="2" borderId="10" xfId="0" applyNumberFormat="1" applyFont="1" applyFill="1" applyBorder="1" applyAlignment="1">
      <alignment horizontal="left" vertical="center" wrapText="1"/>
    </xf>
    <xf numFmtId="164" fontId="3" fillId="2" borderId="11" xfId="0" applyNumberFormat="1" applyFont="1" applyFill="1" applyBorder="1" applyAlignment="1">
      <alignment horizontal="left" vertical="center" wrapText="1"/>
    </xf>
    <xf numFmtId="164" fontId="3" fillId="2" borderId="4" xfId="0" applyNumberFormat="1" applyFont="1" applyFill="1" applyBorder="1" applyAlignment="1">
      <alignment horizontal="left" vertical="center" wrapText="1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7" borderId="12" xfId="0" applyNumberFormat="1" applyFont="1" applyFill="1" applyBorder="1" applyAlignment="1">
      <alignment horizontal="center" vertical="center"/>
    </xf>
    <xf numFmtId="164" fontId="3" fillId="7" borderId="9" xfId="0" applyNumberFormat="1" applyFont="1" applyFill="1" applyBorder="1" applyAlignment="1">
      <alignment horizontal="center" vertical="center"/>
    </xf>
    <xf numFmtId="164" fontId="3" fillId="7" borderId="13" xfId="0" applyNumberFormat="1" applyFont="1" applyFill="1" applyBorder="1" applyAlignment="1">
      <alignment horizontal="center" vertical="center"/>
    </xf>
    <xf numFmtId="164" fontId="3" fillId="7" borderId="0" xfId="0" applyNumberFormat="1" applyFont="1" applyFill="1" applyAlignment="1">
      <alignment horizontal="center" vertical="center"/>
    </xf>
    <xf numFmtId="0" fontId="5" fillId="10" borderId="3" xfId="0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center" vertical="center"/>
    </xf>
    <xf numFmtId="164" fontId="3" fillId="7" borderId="10" xfId="0" applyNumberFormat="1" applyFont="1" applyFill="1" applyBorder="1" applyAlignment="1">
      <alignment horizontal="center" vertical="center"/>
    </xf>
    <xf numFmtId="164" fontId="3" fillId="7" borderId="11" xfId="0" applyNumberFormat="1" applyFont="1" applyFill="1" applyBorder="1" applyAlignment="1">
      <alignment horizontal="center" vertical="center"/>
    </xf>
    <xf numFmtId="164" fontId="3" fillId="7" borderId="3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4" fontId="3" fillId="7" borderId="14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/>
    </xf>
    <xf numFmtId="0" fontId="5" fillId="10" borderId="11" xfId="0" applyFont="1" applyFill="1" applyBorder="1" applyAlignment="1">
      <alignment horizontal="center"/>
    </xf>
    <xf numFmtId="164" fontId="3" fillId="2" borderId="10" xfId="0" applyNumberFormat="1" applyFont="1" applyFill="1" applyBorder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0" fontId="9" fillId="16" borderId="13" xfId="0" applyFont="1" applyFill="1" applyBorder="1" applyAlignment="1">
      <alignment horizontal="center"/>
    </xf>
    <xf numFmtId="0" fontId="9" fillId="16" borderId="0" xfId="0" applyFont="1" applyFill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 vertical="center" wrapText="1"/>
    </xf>
    <xf numFmtId="0" fontId="1" fillId="3" borderId="15" xfId="0" applyFont="1" applyFill="1" applyBorder="1"/>
    <xf numFmtId="0" fontId="2" fillId="0" borderId="0" xfId="0" applyFont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1" fillId="3" borderId="16" xfId="0" applyFont="1" applyFill="1" applyBorder="1"/>
    <xf numFmtId="0" fontId="1" fillId="6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17" fillId="15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23" borderId="1" xfId="0" applyFill="1" applyBorder="1" applyAlignment="1">
      <alignment horizontal="center"/>
    </xf>
    <xf numFmtId="2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8" fillId="22" borderId="1" xfId="0" applyFont="1" applyFill="1" applyBorder="1" applyAlignment="1">
      <alignment horizontal="center" vertical="center"/>
    </xf>
    <xf numFmtId="0" fontId="17" fillId="24" borderId="1" xfId="0" applyFont="1" applyFill="1" applyBorder="1" applyAlignment="1">
      <alignment horizontal="center"/>
    </xf>
    <xf numFmtId="0" fontId="18" fillId="10" borderId="1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1" fillId="24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0" fillId="19" borderId="1" xfId="0" applyFill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D7E4"/>
      <color rgb="FFFEECF2"/>
      <color rgb="FFF65C8F"/>
      <color rgb="FFFF9797"/>
      <color rgb="FFADDB7B"/>
      <color rgb="FFFCDAD0"/>
      <color rgb="FFFF6565"/>
      <color rgb="FF7EC234"/>
      <color rgb="FFE6EBF6"/>
      <color rgb="FFFFC4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440559</xdr:colOff>
      <xdr:row>48</xdr:row>
      <xdr:rowOff>33282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22B0F2-9D69-4811-9657-20D000E2830F}"/>
            </a:ext>
          </a:extLst>
        </xdr:cNvPr>
        <xdr:cNvSpPr txBox="1"/>
      </xdr:nvSpPr>
      <xdr:spPr>
        <a:xfrm>
          <a:off x="7711847" y="90911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</xdr:col>
      <xdr:colOff>258307</xdr:colOff>
      <xdr:row>50</xdr:row>
      <xdr:rowOff>26506</xdr:rowOff>
    </xdr:from>
    <xdr:ext cx="219114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F807ADD-3E6D-97AA-887B-BDDFB8C19BE2}"/>
                </a:ext>
              </a:extLst>
            </xdr:cNvPr>
            <xdr:cNvSpPr txBox="1"/>
          </xdr:nvSpPr>
          <xdr:spPr>
            <a:xfrm>
              <a:off x="1477507" y="9501810"/>
              <a:ext cx="21911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en-ID" sz="100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</m:bar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F807ADD-3E6D-97AA-887B-BDDFB8C19BE2}"/>
                </a:ext>
              </a:extLst>
            </xdr:cNvPr>
            <xdr:cNvSpPr txBox="1"/>
          </xdr:nvSpPr>
          <xdr:spPr>
            <a:xfrm>
              <a:off x="1477507" y="9501810"/>
              <a:ext cx="21911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D" sz="1000" i="0">
                  <a:latin typeface="Cambria Math" panose="02040503050406030204" pitchFamily="18" charset="0"/>
                </a:rPr>
                <a:t>¯</a:t>
              </a:r>
              <a:r>
                <a:rPr lang="en-US" sz="1000" b="0" i="0">
                  <a:latin typeface="Cambria Math" panose="02040503050406030204" pitchFamily="18" charset="0"/>
                </a:rPr>
                <a:t>𝐴</a:t>
              </a:r>
              <a:r>
                <a:rPr lang="en-ID" sz="1000" i="0">
                  <a:latin typeface="Cambria Math" panose="02040503050406030204" pitchFamily="18" charset="0"/>
                </a:rPr>
                <a:t>𝑖</a:t>
              </a:r>
            </a:p>
          </xdr:txBody>
        </xdr:sp>
      </mc:Fallback>
    </mc:AlternateContent>
    <xdr:clientData/>
  </xdr:oneCellAnchor>
  <xdr:oneCellAnchor>
    <xdr:from>
      <xdr:col>5</xdr:col>
      <xdr:colOff>205298</xdr:colOff>
      <xdr:row>50</xdr:row>
      <xdr:rowOff>26506</xdr:rowOff>
    </xdr:from>
    <xdr:ext cx="219114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5F19AF0-6437-4E8F-DDE3-E612F34FDF8D}"/>
                </a:ext>
              </a:extLst>
            </xdr:cNvPr>
            <xdr:cNvSpPr txBox="1"/>
          </xdr:nvSpPr>
          <xdr:spPr>
            <a:xfrm>
              <a:off x="3763507" y="9501810"/>
              <a:ext cx="21911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𝑆</m:t>
                        </m:r>
                        <m:r>
                          <a:rPr lang="en-ID" sz="100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</m:bar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5F19AF0-6437-4E8F-DDE3-E612F34FDF8D}"/>
                </a:ext>
              </a:extLst>
            </xdr:cNvPr>
            <xdr:cNvSpPr txBox="1"/>
          </xdr:nvSpPr>
          <xdr:spPr>
            <a:xfrm>
              <a:off x="3763507" y="9501810"/>
              <a:ext cx="21911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D" sz="1000" i="0">
                  <a:latin typeface="Cambria Math" panose="02040503050406030204" pitchFamily="18" charset="0"/>
                </a:rPr>
                <a:t>¯</a:t>
              </a:r>
              <a:r>
                <a:rPr lang="en-US" sz="1000" b="0" i="0">
                  <a:latin typeface="Cambria Math" panose="02040503050406030204" pitchFamily="18" charset="0"/>
                </a:rPr>
                <a:t>𝑆</a:t>
              </a:r>
              <a:r>
                <a:rPr lang="en-ID" sz="1000" i="0">
                  <a:latin typeface="Cambria Math" panose="02040503050406030204" pitchFamily="18" charset="0"/>
                </a:rPr>
                <a:t>𝑖</a:t>
              </a:r>
            </a:p>
          </xdr:txBody>
        </xdr:sp>
      </mc:Fallback>
    </mc:AlternateContent>
    <xdr:clientData/>
  </xdr:oneCellAnchor>
  <xdr:oneCellAnchor>
    <xdr:from>
      <xdr:col>2</xdr:col>
      <xdr:colOff>258307</xdr:colOff>
      <xdr:row>50</xdr:row>
      <xdr:rowOff>26506</xdr:rowOff>
    </xdr:from>
    <xdr:ext cx="219114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AA117E7-5C95-4025-BB6D-13775E86BBEE}"/>
                </a:ext>
              </a:extLst>
            </xdr:cNvPr>
            <xdr:cNvSpPr txBox="1"/>
          </xdr:nvSpPr>
          <xdr:spPr>
            <a:xfrm>
              <a:off x="1477507" y="9475306"/>
              <a:ext cx="21911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en-ID" sz="100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</m:bar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AA117E7-5C95-4025-BB6D-13775E86BBEE}"/>
                </a:ext>
              </a:extLst>
            </xdr:cNvPr>
            <xdr:cNvSpPr txBox="1"/>
          </xdr:nvSpPr>
          <xdr:spPr>
            <a:xfrm>
              <a:off x="1477507" y="9475306"/>
              <a:ext cx="21911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ID" sz="1000" i="0">
                  <a:latin typeface="Cambria Math" panose="02040503050406030204" pitchFamily="18" charset="0"/>
                </a:rPr>
                <a:t>¯</a:t>
              </a:r>
              <a:r>
                <a:rPr lang="en-US" sz="1000" b="0" i="0">
                  <a:latin typeface="Cambria Math" panose="02040503050406030204" pitchFamily="18" charset="0"/>
                </a:rPr>
                <a:t>𝐴</a:t>
              </a:r>
              <a:r>
                <a:rPr lang="en-ID" sz="1000" i="0">
                  <a:latin typeface="Cambria Math" panose="02040503050406030204" pitchFamily="18" charset="0"/>
                </a:rPr>
                <a:t>𝑖</a:t>
              </a:r>
              <a:endParaRPr lang="en-ID" sz="1000"/>
            </a:p>
          </xdr:txBody>
        </xdr:sp>
      </mc:Fallback>
    </mc:AlternateContent>
    <xdr:clientData/>
  </xdr:oneCellAnchor>
  <xdr:oneCellAnchor>
    <xdr:from>
      <xdr:col>5</xdr:col>
      <xdr:colOff>205298</xdr:colOff>
      <xdr:row>50</xdr:row>
      <xdr:rowOff>26506</xdr:rowOff>
    </xdr:from>
    <xdr:ext cx="219114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111F993-581E-443A-A801-344B3ACA47A2}"/>
                </a:ext>
              </a:extLst>
            </xdr:cNvPr>
            <xdr:cNvSpPr txBox="1"/>
          </xdr:nvSpPr>
          <xdr:spPr>
            <a:xfrm>
              <a:off x="3763838" y="9475306"/>
              <a:ext cx="21911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𝑆</m:t>
                        </m:r>
                        <m:r>
                          <a:rPr lang="en-ID" sz="100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</m:bar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111F993-581E-443A-A801-344B3ACA47A2}"/>
                </a:ext>
              </a:extLst>
            </xdr:cNvPr>
            <xdr:cNvSpPr txBox="1"/>
          </xdr:nvSpPr>
          <xdr:spPr>
            <a:xfrm>
              <a:off x="3763838" y="9475306"/>
              <a:ext cx="21911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ID" sz="1000" i="0">
                  <a:latin typeface="Cambria Math" panose="02040503050406030204" pitchFamily="18" charset="0"/>
                </a:rPr>
                <a:t>¯</a:t>
              </a:r>
              <a:r>
                <a:rPr lang="en-US" sz="1000" b="0" i="0">
                  <a:latin typeface="Cambria Math" panose="02040503050406030204" pitchFamily="18" charset="0"/>
                </a:rPr>
                <a:t>𝑆</a:t>
              </a:r>
              <a:r>
                <a:rPr lang="en-ID" sz="1000" i="0">
                  <a:latin typeface="Cambria Math" panose="02040503050406030204" pitchFamily="18" charset="0"/>
                </a:rPr>
                <a:t>𝑖</a:t>
              </a:r>
              <a:endParaRPr lang="en-ID" sz="10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440559</xdr:colOff>
      <xdr:row>64</xdr:row>
      <xdr:rowOff>33282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0AC28F-D7C5-44FE-8018-2F154CE51F0B}"/>
            </a:ext>
          </a:extLst>
        </xdr:cNvPr>
        <xdr:cNvSpPr txBox="1"/>
      </xdr:nvSpPr>
      <xdr:spPr>
        <a:xfrm>
          <a:off x="8532999" y="911632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</xdr:col>
      <xdr:colOff>258307</xdr:colOff>
      <xdr:row>66</xdr:row>
      <xdr:rowOff>26506</xdr:rowOff>
    </xdr:from>
    <xdr:ext cx="219114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BD6AEFA-1573-46FE-985F-A91213AD34A6}"/>
                </a:ext>
              </a:extLst>
            </xdr:cNvPr>
            <xdr:cNvSpPr txBox="1"/>
          </xdr:nvSpPr>
          <xdr:spPr>
            <a:xfrm>
              <a:off x="1477507" y="9475306"/>
              <a:ext cx="21911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en-ID" sz="100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</m:bar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BD6AEFA-1573-46FE-985F-A91213AD34A6}"/>
                </a:ext>
              </a:extLst>
            </xdr:cNvPr>
            <xdr:cNvSpPr txBox="1"/>
          </xdr:nvSpPr>
          <xdr:spPr>
            <a:xfrm>
              <a:off x="1477507" y="9475306"/>
              <a:ext cx="21911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D" sz="1000" i="0">
                  <a:latin typeface="Cambria Math" panose="02040503050406030204" pitchFamily="18" charset="0"/>
                </a:rPr>
                <a:t>¯</a:t>
              </a:r>
              <a:r>
                <a:rPr lang="en-US" sz="1000" b="0" i="0">
                  <a:latin typeface="Cambria Math" panose="02040503050406030204" pitchFamily="18" charset="0"/>
                </a:rPr>
                <a:t>𝐴</a:t>
              </a:r>
              <a:r>
                <a:rPr lang="en-ID" sz="1000" i="0">
                  <a:latin typeface="Cambria Math" panose="02040503050406030204" pitchFamily="18" charset="0"/>
                </a:rPr>
                <a:t>𝑖</a:t>
              </a:r>
            </a:p>
          </xdr:txBody>
        </xdr:sp>
      </mc:Fallback>
    </mc:AlternateContent>
    <xdr:clientData/>
  </xdr:oneCellAnchor>
  <xdr:oneCellAnchor>
    <xdr:from>
      <xdr:col>5</xdr:col>
      <xdr:colOff>205298</xdr:colOff>
      <xdr:row>66</xdr:row>
      <xdr:rowOff>26506</xdr:rowOff>
    </xdr:from>
    <xdr:ext cx="219114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75C7641-CA2F-4A10-89CB-F099E850B05D}"/>
                </a:ext>
              </a:extLst>
            </xdr:cNvPr>
            <xdr:cNvSpPr txBox="1"/>
          </xdr:nvSpPr>
          <xdr:spPr>
            <a:xfrm>
              <a:off x="3763838" y="9475306"/>
              <a:ext cx="21911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𝑆</m:t>
                        </m:r>
                        <m:r>
                          <a:rPr lang="en-ID" sz="100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</m:bar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75C7641-CA2F-4A10-89CB-F099E850B05D}"/>
                </a:ext>
              </a:extLst>
            </xdr:cNvPr>
            <xdr:cNvSpPr txBox="1"/>
          </xdr:nvSpPr>
          <xdr:spPr>
            <a:xfrm>
              <a:off x="3763838" y="9475306"/>
              <a:ext cx="21911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D" sz="1000" i="0">
                  <a:latin typeface="Cambria Math" panose="02040503050406030204" pitchFamily="18" charset="0"/>
                </a:rPr>
                <a:t>¯</a:t>
              </a:r>
              <a:r>
                <a:rPr lang="en-US" sz="1000" b="0" i="0">
                  <a:latin typeface="Cambria Math" panose="02040503050406030204" pitchFamily="18" charset="0"/>
                </a:rPr>
                <a:t>𝑆</a:t>
              </a:r>
              <a:r>
                <a:rPr lang="en-ID" sz="1000" i="0">
                  <a:latin typeface="Cambria Math" panose="02040503050406030204" pitchFamily="18" charset="0"/>
                </a:rPr>
                <a:t>𝑖</a:t>
              </a:r>
            </a:p>
          </xdr:txBody>
        </xdr:sp>
      </mc:Fallback>
    </mc:AlternateContent>
    <xdr:clientData/>
  </xdr:oneCellAnchor>
  <xdr:oneCellAnchor>
    <xdr:from>
      <xdr:col>2</xdr:col>
      <xdr:colOff>258307</xdr:colOff>
      <xdr:row>66</xdr:row>
      <xdr:rowOff>26506</xdr:rowOff>
    </xdr:from>
    <xdr:ext cx="219114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3B50AF5-AE80-47E9-852C-E6E828773C9B}"/>
                </a:ext>
              </a:extLst>
            </xdr:cNvPr>
            <xdr:cNvSpPr txBox="1"/>
          </xdr:nvSpPr>
          <xdr:spPr>
            <a:xfrm>
              <a:off x="1477507" y="9475306"/>
              <a:ext cx="21911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en-ID" sz="100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</m:bar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3B50AF5-AE80-47E9-852C-E6E828773C9B}"/>
                </a:ext>
              </a:extLst>
            </xdr:cNvPr>
            <xdr:cNvSpPr txBox="1"/>
          </xdr:nvSpPr>
          <xdr:spPr>
            <a:xfrm>
              <a:off x="1477507" y="9475306"/>
              <a:ext cx="21911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ID" sz="1000" i="0">
                  <a:latin typeface="Cambria Math" panose="02040503050406030204" pitchFamily="18" charset="0"/>
                </a:rPr>
                <a:t>¯</a:t>
              </a:r>
              <a:r>
                <a:rPr lang="en-US" sz="1000" b="0" i="0">
                  <a:latin typeface="Cambria Math" panose="02040503050406030204" pitchFamily="18" charset="0"/>
                </a:rPr>
                <a:t>𝐴</a:t>
              </a:r>
              <a:r>
                <a:rPr lang="en-ID" sz="1000" i="0">
                  <a:latin typeface="Cambria Math" panose="02040503050406030204" pitchFamily="18" charset="0"/>
                </a:rPr>
                <a:t>𝑖</a:t>
              </a:r>
              <a:endParaRPr lang="en-ID" sz="1000"/>
            </a:p>
          </xdr:txBody>
        </xdr:sp>
      </mc:Fallback>
    </mc:AlternateContent>
    <xdr:clientData/>
  </xdr:oneCellAnchor>
  <xdr:oneCellAnchor>
    <xdr:from>
      <xdr:col>5</xdr:col>
      <xdr:colOff>205298</xdr:colOff>
      <xdr:row>66</xdr:row>
      <xdr:rowOff>26506</xdr:rowOff>
    </xdr:from>
    <xdr:ext cx="219114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F9F4A5A-7A28-4CF7-BA77-507A7041CB88}"/>
                </a:ext>
              </a:extLst>
            </xdr:cNvPr>
            <xdr:cNvSpPr txBox="1"/>
          </xdr:nvSpPr>
          <xdr:spPr>
            <a:xfrm>
              <a:off x="3763838" y="9475306"/>
              <a:ext cx="21911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𝑆</m:t>
                        </m:r>
                        <m:r>
                          <a:rPr lang="en-ID" sz="100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</m:bar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F9F4A5A-7A28-4CF7-BA77-507A7041CB88}"/>
                </a:ext>
              </a:extLst>
            </xdr:cNvPr>
            <xdr:cNvSpPr txBox="1"/>
          </xdr:nvSpPr>
          <xdr:spPr>
            <a:xfrm>
              <a:off x="3763838" y="9475306"/>
              <a:ext cx="21911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ID" sz="1000" i="0">
                  <a:latin typeface="Cambria Math" panose="02040503050406030204" pitchFamily="18" charset="0"/>
                </a:rPr>
                <a:t>¯</a:t>
              </a:r>
              <a:r>
                <a:rPr lang="en-US" sz="1000" b="0" i="0">
                  <a:latin typeface="Cambria Math" panose="02040503050406030204" pitchFamily="18" charset="0"/>
                </a:rPr>
                <a:t>𝑆</a:t>
              </a:r>
              <a:r>
                <a:rPr lang="en-ID" sz="1000" i="0">
                  <a:latin typeface="Cambria Math" panose="02040503050406030204" pitchFamily="18" charset="0"/>
                </a:rPr>
                <a:t>𝑖</a:t>
              </a:r>
              <a:endParaRPr lang="en-ID" sz="10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440559</xdr:colOff>
      <xdr:row>54</xdr:row>
      <xdr:rowOff>33282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3CE6DF-F864-48CB-85D1-85FC874D68E4}"/>
            </a:ext>
          </a:extLst>
        </xdr:cNvPr>
        <xdr:cNvSpPr txBox="1"/>
      </xdr:nvSpPr>
      <xdr:spPr>
        <a:xfrm>
          <a:off x="8532999" y="91010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2</xdr:col>
      <xdr:colOff>258307</xdr:colOff>
      <xdr:row>57</xdr:row>
      <xdr:rowOff>26506</xdr:rowOff>
    </xdr:from>
    <xdr:ext cx="219114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27BA1EF-9795-42B4-9E2A-9E2CD591E74A}"/>
                </a:ext>
              </a:extLst>
            </xdr:cNvPr>
            <xdr:cNvSpPr txBox="1"/>
          </xdr:nvSpPr>
          <xdr:spPr>
            <a:xfrm>
              <a:off x="1477507" y="9460066"/>
              <a:ext cx="21911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𝐴</m:t>
                        </m:r>
                        <m:r>
                          <a:rPr lang="en-ID" sz="100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</m:bar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27BA1EF-9795-42B4-9E2A-9E2CD591E74A}"/>
                </a:ext>
              </a:extLst>
            </xdr:cNvPr>
            <xdr:cNvSpPr txBox="1"/>
          </xdr:nvSpPr>
          <xdr:spPr>
            <a:xfrm>
              <a:off x="1477507" y="9460066"/>
              <a:ext cx="21911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D" sz="1000" i="0">
                  <a:latin typeface="Cambria Math" panose="02040503050406030204" pitchFamily="18" charset="0"/>
                </a:rPr>
                <a:t>¯</a:t>
              </a:r>
              <a:r>
                <a:rPr lang="en-US" sz="1000" b="0" i="0">
                  <a:latin typeface="Cambria Math" panose="02040503050406030204" pitchFamily="18" charset="0"/>
                </a:rPr>
                <a:t>𝐴</a:t>
              </a:r>
              <a:r>
                <a:rPr lang="en-ID" sz="1000" i="0">
                  <a:latin typeface="Cambria Math" panose="02040503050406030204" pitchFamily="18" charset="0"/>
                </a:rPr>
                <a:t>𝑖</a:t>
              </a:r>
            </a:p>
          </xdr:txBody>
        </xdr:sp>
      </mc:Fallback>
    </mc:AlternateContent>
    <xdr:clientData/>
  </xdr:oneCellAnchor>
  <xdr:oneCellAnchor>
    <xdr:from>
      <xdr:col>5</xdr:col>
      <xdr:colOff>205298</xdr:colOff>
      <xdr:row>57</xdr:row>
      <xdr:rowOff>26506</xdr:rowOff>
    </xdr:from>
    <xdr:ext cx="219114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FEAAA45-6B07-4D32-96E7-268BC93ECFF6}"/>
                </a:ext>
              </a:extLst>
            </xdr:cNvPr>
            <xdr:cNvSpPr txBox="1"/>
          </xdr:nvSpPr>
          <xdr:spPr>
            <a:xfrm>
              <a:off x="3763838" y="9460066"/>
              <a:ext cx="21911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n-ID" sz="1000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n-US" sz="1000" b="0" i="1">
                            <a:latin typeface="Cambria Math" panose="02040503050406030204" pitchFamily="18" charset="0"/>
                          </a:rPr>
                          <m:t>𝑆</m:t>
                        </m:r>
                        <m:r>
                          <a:rPr lang="en-ID" sz="1000" i="1">
                            <a:latin typeface="Cambria Math" panose="02040503050406030204" pitchFamily="18" charset="0"/>
                          </a:rPr>
                          <m:t>𝑖</m:t>
                        </m:r>
                      </m:e>
                    </m:bar>
                  </m:oMath>
                </m:oMathPara>
              </a14:m>
              <a:endParaRPr lang="en-ID" sz="10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FEAAA45-6B07-4D32-96E7-268BC93ECFF6}"/>
                </a:ext>
              </a:extLst>
            </xdr:cNvPr>
            <xdr:cNvSpPr txBox="1"/>
          </xdr:nvSpPr>
          <xdr:spPr>
            <a:xfrm>
              <a:off x="3763838" y="9460066"/>
              <a:ext cx="219114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ID" sz="1000" i="0">
                  <a:latin typeface="Cambria Math" panose="02040503050406030204" pitchFamily="18" charset="0"/>
                </a:rPr>
                <a:t>¯</a:t>
              </a:r>
              <a:r>
                <a:rPr lang="en-US" sz="1000" b="0" i="0">
                  <a:latin typeface="Cambria Math" panose="02040503050406030204" pitchFamily="18" charset="0"/>
                </a:rPr>
                <a:t>𝑆</a:t>
              </a:r>
              <a:r>
                <a:rPr lang="en-ID" sz="1000" i="0">
                  <a:latin typeface="Cambria Math" panose="02040503050406030204" pitchFamily="18" charset="0"/>
                </a:rPr>
                <a:t>𝑖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FC37-C814-49B4-B4EB-1DA85F9EA7E1}">
  <dimension ref="B1:Z42"/>
  <sheetViews>
    <sheetView showGridLines="0" topLeftCell="B1" zoomScale="70" workbookViewId="0">
      <selection activeCell="E44" sqref="E44"/>
    </sheetView>
  </sheetViews>
  <sheetFormatPr defaultRowHeight="13.8" x14ac:dyDescent="0.25"/>
  <cols>
    <col min="1" max="2" width="8.88671875" style="19"/>
    <col min="3" max="3" width="26.88671875" style="19" bestFit="1" customWidth="1"/>
    <col min="4" max="4" width="24.77734375" style="19" bestFit="1" customWidth="1"/>
    <col min="5" max="5" width="10.44140625" style="19" bestFit="1" customWidth="1"/>
    <col min="6" max="8" width="11" style="19" bestFit="1" customWidth="1"/>
    <col min="9" max="9" width="10.44140625" style="19" bestFit="1" customWidth="1"/>
    <col min="10" max="12" width="11" style="19" bestFit="1" customWidth="1"/>
    <col min="13" max="13" width="13.109375" style="19" bestFit="1" customWidth="1"/>
    <col min="14" max="14" width="10.44140625" style="19" bestFit="1" customWidth="1"/>
    <col min="15" max="17" width="11" style="19" bestFit="1" customWidth="1"/>
    <col min="18" max="18" width="14.109375" style="19" bestFit="1" customWidth="1"/>
    <col min="19" max="19" width="23.77734375" style="19" bestFit="1" customWidth="1"/>
    <col min="20" max="16384" width="8.88671875" style="19"/>
  </cols>
  <sheetData>
    <row r="1" spans="2:26" ht="14.4" x14ac:dyDescent="0.3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2:26" ht="17.399999999999999" x14ac:dyDescent="0.3">
      <c r="B2"/>
      <c r="C2"/>
      <c r="D2"/>
      <c r="E2"/>
      <c r="F2"/>
      <c r="G2"/>
      <c r="H2" s="158" t="s">
        <v>144</v>
      </c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</row>
    <row r="3" spans="2:26" ht="17.399999999999999" x14ac:dyDescent="0.3">
      <c r="B3" s="117" t="s">
        <v>603</v>
      </c>
      <c r="C3" s="117"/>
      <c r="D3" s="117"/>
      <c r="E3" s="117"/>
      <c r="F3" s="117"/>
      <c r="G3" s="117"/>
      <c r="H3"/>
      <c r="I3"/>
      <c r="J3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/>
    </row>
    <row r="4" spans="2:26" ht="15.6" x14ac:dyDescent="0.3">
      <c r="B4" s="117" t="s">
        <v>12</v>
      </c>
      <c r="C4" s="117"/>
      <c r="D4" s="117"/>
      <c r="E4" s="117"/>
      <c r="F4" s="117"/>
      <c r="G4" s="117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6" spans="2:26" ht="15.6" x14ac:dyDescent="0.3">
      <c r="C6" s="156" t="s">
        <v>173</v>
      </c>
      <c r="D6" s="156" t="s">
        <v>174</v>
      </c>
      <c r="E6" s="156" t="s">
        <v>175</v>
      </c>
      <c r="F6" s="157"/>
      <c r="G6" s="157"/>
      <c r="H6" s="157"/>
      <c r="I6" s="156" t="s">
        <v>176</v>
      </c>
      <c r="J6" s="157"/>
      <c r="K6" s="157"/>
      <c r="L6" s="157"/>
      <c r="M6" s="157"/>
      <c r="N6" s="156" t="s">
        <v>177</v>
      </c>
      <c r="O6" s="157"/>
      <c r="P6" s="157"/>
      <c r="Q6" s="157"/>
      <c r="R6" s="161"/>
      <c r="S6" s="159" t="s">
        <v>178</v>
      </c>
    </row>
    <row r="7" spans="2:26" ht="15.6" x14ac:dyDescent="0.25">
      <c r="C7" s="157"/>
      <c r="D7" s="157"/>
      <c r="E7" s="103" t="s">
        <v>179</v>
      </c>
      <c r="F7" s="103" t="s">
        <v>180</v>
      </c>
      <c r="G7" s="103" t="s">
        <v>181</v>
      </c>
      <c r="H7" s="103" t="s">
        <v>182</v>
      </c>
      <c r="I7" s="103" t="s">
        <v>179</v>
      </c>
      <c r="J7" s="103" t="s">
        <v>180</v>
      </c>
      <c r="K7" s="103" t="s">
        <v>181</v>
      </c>
      <c r="L7" s="103" t="s">
        <v>182</v>
      </c>
      <c r="M7" s="103" t="s">
        <v>183</v>
      </c>
      <c r="N7" s="103" t="s">
        <v>179</v>
      </c>
      <c r="O7" s="103" t="s">
        <v>180</v>
      </c>
      <c r="P7" s="103" t="s">
        <v>181</v>
      </c>
      <c r="Q7" s="103" t="s">
        <v>182</v>
      </c>
      <c r="R7" s="104" t="s">
        <v>184</v>
      </c>
      <c r="S7" s="160"/>
    </row>
    <row r="8" spans="2:26" ht="15.6" x14ac:dyDescent="0.25">
      <c r="C8" s="107" t="s">
        <v>185</v>
      </c>
      <c r="D8" s="105" t="s">
        <v>186</v>
      </c>
      <c r="E8" s="107" t="s">
        <v>186</v>
      </c>
      <c r="F8" s="107" t="s">
        <v>187</v>
      </c>
      <c r="G8" s="107" t="s">
        <v>188</v>
      </c>
      <c r="H8" s="107" t="s">
        <v>189</v>
      </c>
      <c r="I8" s="105" t="s">
        <v>190</v>
      </c>
      <c r="J8" s="105" t="s">
        <v>190</v>
      </c>
      <c r="K8" s="105" t="s">
        <v>190</v>
      </c>
      <c r="L8" s="105" t="s">
        <v>190</v>
      </c>
      <c r="M8" s="105" t="s">
        <v>190</v>
      </c>
      <c r="N8" s="107" t="s">
        <v>191</v>
      </c>
      <c r="O8" s="107" t="s">
        <v>192</v>
      </c>
      <c r="P8" s="107" t="s">
        <v>193</v>
      </c>
      <c r="Q8" s="107" t="s">
        <v>194</v>
      </c>
      <c r="R8" s="107" t="s">
        <v>195</v>
      </c>
      <c r="S8" s="106" t="s">
        <v>195</v>
      </c>
    </row>
    <row r="9" spans="2:26" ht="15.6" x14ac:dyDescent="0.25">
      <c r="C9" s="107" t="s">
        <v>196</v>
      </c>
      <c r="D9" s="105" t="s">
        <v>197</v>
      </c>
      <c r="E9" s="107" t="s">
        <v>197</v>
      </c>
      <c r="F9" s="107" t="s">
        <v>198</v>
      </c>
      <c r="G9" s="107" t="s">
        <v>199</v>
      </c>
      <c r="H9" s="107" t="s">
        <v>200</v>
      </c>
      <c r="I9" s="105" t="s">
        <v>190</v>
      </c>
      <c r="J9" s="105" t="s">
        <v>190</v>
      </c>
      <c r="K9" s="105" t="s">
        <v>201</v>
      </c>
      <c r="L9" s="105" t="s">
        <v>190</v>
      </c>
      <c r="M9" s="105" t="s">
        <v>201</v>
      </c>
      <c r="N9" s="107" t="s">
        <v>202</v>
      </c>
      <c r="O9" s="107" t="s">
        <v>203</v>
      </c>
      <c r="P9" s="107" t="s">
        <v>204</v>
      </c>
      <c r="Q9" s="107" t="s">
        <v>205</v>
      </c>
      <c r="R9" s="107" t="s">
        <v>206</v>
      </c>
      <c r="S9" s="105" t="s">
        <v>207</v>
      </c>
    </row>
    <row r="10" spans="2:26" ht="15.6" x14ac:dyDescent="0.25">
      <c r="C10" s="107" t="s">
        <v>208</v>
      </c>
      <c r="D10" s="105" t="s">
        <v>209</v>
      </c>
      <c r="E10" s="107" t="s">
        <v>210</v>
      </c>
      <c r="F10" s="107" t="s">
        <v>211</v>
      </c>
      <c r="G10" s="107" t="s">
        <v>212</v>
      </c>
      <c r="H10" s="107" t="s">
        <v>213</v>
      </c>
      <c r="I10" s="105" t="s">
        <v>190</v>
      </c>
      <c r="J10" s="105" t="s">
        <v>190</v>
      </c>
      <c r="K10" s="105" t="s">
        <v>214</v>
      </c>
      <c r="L10" s="105" t="s">
        <v>190</v>
      </c>
      <c r="M10" s="105" t="s">
        <v>214</v>
      </c>
      <c r="N10" s="107" t="s">
        <v>215</v>
      </c>
      <c r="O10" s="107" t="s">
        <v>216</v>
      </c>
      <c r="P10" s="107" t="s">
        <v>217</v>
      </c>
      <c r="Q10" s="107" t="s">
        <v>218</v>
      </c>
      <c r="R10" s="107" t="s">
        <v>219</v>
      </c>
      <c r="S10" s="105" t="s">
        <v>220</v>
      </c>
    </row>
    <row r="11" spans="2:26" ht="15.6" x14ac:dyDescent="0.25">
      <c r="C11" s="107" t="s">
        <v>221</v>
      </c>
      <c r="D11" s="105" t="s">
        <v>186</v>
      </c>
      <c r="E11" s="107" t="s">
        <v>190</v>
      </c>
      <c r="F11" s="107" t="s">
        <v>190</v>
      </c>
      <c r="G11" s="107" t="s">
        <v>146</v>
      </c>
      <c r="H11" s="107" t="s">
        <v>146</v>
      </c>
      <c r="I11" s="105" t="s">
        <v>222</v>
      </c>
      <c r="J11" s="105" t="s">
        <v>223</v>
      </c>
      <c r="K11" s="105" t="s">
        <v>146</v>
      </c>
      <c r="L11" s="105" t="s">
        <v>146</v>
      </c>
      <c r="M11" s="105" t="s">
        <v>224</v>
      </c>
      <c r="N11" s="107" t="s">
        <v>225</v>
      </c>
      <c r="O11" s="107" t="s">
        <v>226</v>
      </c>
      <c r="P11" s="107" t="s">
        <v>146</v>
      </c>
      <c r="Q11" s="107" t="s">
        <v>146</v>
      </c>
      <c r="R11" s="107" t="s">
        <v>227</v>
      </c>
      <c r="S11" s="105" t="s">
        <v>228</v>
      </c>
    </row>
    <row r="12" spans="2:26" ht="15.6" x14ac:dyDescent="0.25">
      <c r="C12" s="107" t="s">
        <v>229</v>
      </c>
      <c r="D12" s="105" t="s">
        <v>230</v>
      </c>
      <c r="E12" s="107" t="s">
        <v>231</v>
      </c>
      <c r="F12" s="107" t="s">
        <v>232</v>
      </c>
      <c r="G12" s="107" t="s">
        <v>233</v>
      </c>
      <c r="H12" s="107" t="s">
        <v>234</v>
      </c>
      <c r="I12" s="105" t="s">
        <v>190</v>
      </c>
      <c r="J12" s="105" t="s">
        <v>190</v>
      </c>
      <c r="K12" s="105" t="s">
        <v>235</v>
      </c>
      <c r="L12" s="105" t="s">
        <v>190</v>
      </c>
      <c r="M12" s="105" t="s">
        <v>235</v>
      </c>
      <c r="N12" s="107" t="s">
        <v>236</v>
      </c>
      <c r="O12" s="107" t="s">
        <v>237</v>
      </c>
      <c r="P12" s="107" t="s">
        <v>238</v>
      </c>
      <c r="Q12" s="107" t="s">
        <v>239</v>
      </c>
      <c r="R12" s="107" t="s">
        <v>240</v>
      </c>
      <c r="S12" s="105" t="s">
        <v>241</v>
      </c>
    </row>
    <row r="13" spans="2:26" ht="15.6" x14ac:dyDescent="0.25">
      <c r="C13" s="107" t="s">
        <v>242</v>
      </c>
      <c r="D13" s="105" t="s">
        <v>243</v>
      </c>
      <c r="E13" s="107" t="s">
        <v>244</v>
      </c>
      <c r="F13" s="107" t="s">
        <v>245</v>
      </c>
      <c r="G13" s="107" t="s">
        <v>246</v>
      </c>
      <c r="H13" s="107" t="s">
        <v>247</v>
      </c>
      <c r="I13" s="105" t="s">
        <v>248</v>
      </c>
      <c r="J13" s="105" t="s">
        <v>249</v>
      </c>
      <c r="K13" s="105" t="s">
        <v>250</v>
      </c>
      <c r="L13" s="105" t="s">
        <v>190</v>
      </c>
      <c r="M13" s="105" t="s">
        <v>251</v>
      </c>
      <c r="N13" s="107" t="s">
        <v>252</v>
      </c>
      <c r="O13" s="107" t="s">
        <v>253</v>
      </c>
      <c r="P13" s="107" t="s">
        <v>254</v>
      </c>
      <c r="Q13" s="107" t="s">
        <v>255</v>
      </c>
      <c r="R13" s="107" t="s">
        <v>256</v>
      </c>
      <c r="S13" s="105" t="s">
        <v>257</v>
      </c>
    </row>
    <row r="14" spans="2:26" ht="15.6" x14ac:dyDescent="0.25">
      <c r="C14" s="107" t="s">
        <v>258</v>
      </c>
      <c r="D14" s="105" t="s">
        <v>259</v>
      </c>
      <c r="E14" s="107" t="s">
        <v>260</v>
      </c>
      <c r="F14" s="107" t="s">
        <v>261</v>
      </c>
      <c r="G14" s="107" t="s">
        <v>254</v>
      </c>
      <c r="H14" s="107" t="s">
        <v>262</v>
      </c>
      <c r="I14" s="105" t="s">
        <v>190</v>
      </c>
      <c r="J14" s="105" t="s">
        <v>263</v>
      </c>
      <c r="K14" s="105" t="s">
        <v>264</v>
      </c>
      <c r="L14" s="105" t="s">
        <v>190</v>
      </c>
      <c r="M14" s="105" t="s">
        <v>265</v>
      </c>
      <c r="N14" s="107" t="s">
        <v>266</v>
      </c>
      <c r="O14" s="107" t="s">
        <v>267</v>
      </c>
      <c r="P14" s="107" t="s">
        <v>268</v>
      </c>
      <c r="Q14" s="107" t="s">
        <v>269</v>
      </c>
      <c r="R14" s="107" t="s">
        <v>270</v>
      </c>
      <c r="S14" s="105" t="s">
        <v>271</v>
      </c>
    </row>
    <row r="15" spans="2:26" ht="15.6" x14ac:dyDescent="0.25">
      <c r="C15" s="107" t="s">
        <v>272</v>
      </c>
      <c r="D15" s="105" t="s">
        <v>273</v>
      </c>
      <c r="E15" s="107" t="s">
        <v>274</v>
      </c>
      <c r="F15" s="107" t="s">
        <v>275</v>
      </c>
      <c r="G15" s="107" t="s">
        <v>276</v>
      </c>
      <c r="H15" s="107" t="s">
        <v>277</v>
      </c>
      <c r="I15" s="105" t="s">
        <v>278</v>
      </c>
      <c r="J15" s="105" t="s">
        <v>190</v>
      </c>
      <c r="K15" s="105" t="s">
        <v>279</v>
      </c>
      <c r="L15" s="105" t="s">
        <v>190</v>
      </c>
      <c r="M15" s="105" t="s">
        <v>280</v>
      </c>
      <c r="N15" s="107" t="s">
        <v>281</v>
      </c>
      <c r="O15" s="107" t="s">
        <v>282</v>
      </c>
      <c r="P15" s="107" t="s">
        <v>283</v>
      </c>
      <c r="Q15" s="107" t="s">
        <v>284</v>
      </c>
      <c r="R15" s="107" t="s">
        <v>285</v>
      </c>
      <c r="S15" s="105" t="s">
        <v>286</v>
      </c>
    </row>
    <row r="16" spans="2:26" ht="15.6" x14ac:dyDescent="0.25">
      <c r="C16" s="107" t="s">
        <v>287</v>
      </c>
      <c r="D16" s="105" t="s">
        <v>288</v>
      </c>
      <c r="E16" s="107" t="s">
        <v>289</v>
      </c>
      <c r="F16" s="107" t="s">
        <v>290</v>
      </c>
      <c r="G16" s="107" t="s">
        <v>291</v>
      </c>
      <c r="H16" s="107" t="s">
        <v>292</v>
      </c>
      <c r="I16" s="105" t="s">
        <v>224</v>
      </c>
      <c r="J16" s="105" t="s">
        <v>293</v>
      </c>
      <c r="K16" s="105" t="s">
        <v>294</v>
      </c>
      <c r="L16" s="105" t="s">
        <v>190</v>
      </c>
      <c r="M16" s="105" t="s">
        <v>295</v>
      </c>
      <c r="N16" s="107" t="s">
        <v>296</v>
      </c>
      <c r="O16" s="107" t="s">
        <v>297</v>
      </c>
      <c r="P16" s="107" t="s">
        <v>298</v>
      </c>
      <c r="Q16" s="107" t="s">
        <v>299</v>
      </c>
      <c r="R16" s="107" t="s">
        <v>300</v>
      </c>
      <c r="S16" s="105" t="s">
        <v>301</v>
      </c>
    </row>
    <row r="17" spans="3:19" ht="15.6" x14ac:dyDescent="0.25">
      <c r="C17" s="107" t="s">
        <v>302</v>
      </c>
      <c r="D17" s="105" t="s">
        <v>303</v>
      </c>
      <c r="E17" s="107" t="s">
        <v>304</v>
      </c>
      <c r="F17" s="107" t="s">
        <v>293</v>
      </c>
      <c r="G17" s="107" t="s">
        <v>305</v>
      </c>
      <c r="H17" s="107" t="s">
        <v>306</v>
      </c>
      <c r="I17" s="105" t="s">
        <v>194</v>
      </c>
      <c r="J17" s="105" t="s">
        <v>307</v>
      </c>
      <c r="K17" s="105" t="s">
        <v>308</v>
      </c>
      <c r="L17" s="105" t="s">
        <v>190</v>
      </c>
      <c r="M17" s="105" t="s">
        <v>309</v>
      </c>
      <c r="N17" s="107" t="s">
        <v>248</v>
      </c>
      <c r="O17" s="107" t="s">
        <v>274</v>
      </c>
      <c r="P17" s="107" t="s">
        <v>310</v>
      </c>
      <c r="Q17" s="107" t="s">
        <v>311</v>
      </c>
      <c r="R17" s="107" t="s">
        <v>312</v>
      </c>
      <c r="S17" s="105" t="s">
        <v>313</v>
      </c>
    </row>
    <row r="18" spans="3:19" ht="15.6" x14ac:dyDescent="0.25">
      <c r="C18" s="107" t="s">
        <v>314</v>
      </c>
      <c r="D18" s="105" t="s">
        <v>296</v>
      </c>
      <c r="E18" s="107" t="s">
        <v>290</v>
      </c>
      <c r="F18" s="107" t="s">
        <v>315</v>
      </c>
      <c r="G18" s="107" t="s">
        <v>316</v>
      </c>
      <c r="H18" s="107" t="s">
        <v>317</v>
      </c>
      <c r="I18" s="105" t="s">
        <v>205</v>
      </c>
      <c r="J18" s="105" t="s">
        <v>318</v>
      </c>
      <c r="K18" s="105" t="s">
        <v>319</v>
      </c>
      <c r="L18" s="105" t="s">
        <v>190</v>
      </c>
      <c r="M18" s="105" t="s">
        <v>320</v>
      </c>
      <c r="N18" s="107" t="s">
        <v>248</v>
      </c>
      <c r="O18" s="107" t="s">
        <v>321</v>
      </c>
      <c r="P18" s="107" t="s">
        <v>322</v>
      </c>
      <c r="Q18" s="107" t="s">
        <v>323</v>
      </c>
      <c r="R18" s="107" t="s">
        <v>324</v>
      </c>
      <c r="S18" s="105" t="s">
        <v>325</v>
      </c>
    </row>
    <row r="19" spans="3:19" ht="15.6" x14ac:dyDescent="0.25">
      <c r="C19" s="107" t="s">
        <v>326</v>
      </c>
      <c r="D19" s="105" t="s">
        <v>327</v>
      </c>
      <c r="E19" s="107" t="s">
        <v>328</v>
      </c>
      <c r="F19" s="107" t="s">
        <v>329</v>
      </c>
      <c r="G19" s="107" t="s">
        <v>330</v>
      </c>
      <c r="H19" s="107" t="s">
        <v>331</v>
      </c>
      <c r="I19" s="105" t="s">
        <v>332</v>
      </c>
      <c r="J19" s="105" t="s">
        <v>333</v>
      </c>
      <c r="K19" s="105" t="s">
        <v>334</v>
      </c>
      <c r="L19" s="105" t="s">
        <v>190</v>
      </c>
      <c r="M19" s="105" t="s">
        <v>335</v>
      </c>
      <c r="N19" s="107" t="s">
        <v>261</v>
      </c>
      <c r="O19" s="107" t="s">
        <v>336</v>
      </c>
      <c r="P19" s="107" t="s">
        <v>337</v>
      </c>
      <c r="Q19" s="107" t="s">
        <v>338</v>
      </c>
      <c r="R19" s="107" t="s">
        <v>339</v>
      </c>
      <c r="S19" s="105" t="s">
        <v>340</v>
      </c>
    </row>
    <row r="20" spans="3:19" ht="15.6" x14ac:dyDescent="0.25">
      <c r="C20" s="107" t="s">
        <v>341</v>
      </c>
      <c r="D20" s="105" t="s">
        <v>342</v>
      </c>
      <c r="E20" s="107" t="s">
        <v>343</v>
      </c>
      <c r="F20" s="107" t="s">
        <v>344</v>
      </c>
      <c r="G20" s="107" t="s">
        <v>345</v>
      </c>
      <c r="H20" s="107" t="s">
        <v>346</v>
      </c>
      <c r="I20" s="105" t="s">
        <v>237</v>
      </c>
      <c r="J20" s="105" t="s">
        <v>298</v>
      </c>
      <c r="K20" s="105" t="s">
        <v>347</v>
      </c>
      <c r="L20" s="105" t="s">
        <v>348</v>
      </c>
      <c r="M20" s="105" t="s">
        <v>349</v>
      </c>
      <c r="N20" s="107" t="s">
        <v>239</v>
      </c>
      <c r="O20" s="107" t="s">
        <v>350</v>
      </c>
      <c r="P20" s="107" t="s">
        <v>351</v>
      </c>
      <c r="Q20" s="107" t="s">
        <v>352</v>
      </c>
      <c r="R20" s="107" t="s">
        <v>353</v>
      </c>
      <c r="S20" s="105" t="s">
        <v>354</v>
      </c>
    </row>
    <row r="21" spans="3:19" ht="15.6" x14ac:dyDescent="0.25">
      <c r="C21" s="107" t="s">
        <v>355</v>
      </c>
      <c r="D21" s="105" t="s">
        <v>356</v>
      </c>
      <c r="E21" s="107" t="s">
        <v>357</v>
      </c>
      <c r="F21" s="107" t="s">
        <v>358</v>
      </c>
      <c r="G21" s="107" t="s">
        <v>146</v>
      </c>
      <c r="H21" s="107" t="s">
        <v>146</v>
      </c>
      <c r="I21" s="105" t="s">
        <v>359</v>
      </c>
      <c r="J21" s="105" t="s">
        <v>360</v>
      </c>
      <c r="K21" s="105" t="s">
        <v>146</v>
      </c>
      <c r="L21" s="105" t="s">
        <v>146</v>
      </c>
      <c r="M21" s="105" t="s">
        <v>361</v>
      </c>
      <c r="N21" s="107" t="s">
        <v>362</v>
      </c>
      <c r="O21" s="107" t="s">
        <v>363</v>
      </c>
      <c r="P21" s="107" t="s">
        <v>146</v>
      </c>
      <c r="Q21" s="107" t="s">
        <v>146</v>
      </c>
      <c r="R21" s="107" t="s">
        <v>364</v>
      </c>
      <c r="S21" s="105" t="s">
        <v>365</v>
      </c>
    </row>
    <row r="22" spans="3:19" ht="15.6" x14ac:dyDescent="0.25">
      <c r="C22" s="107" t="s">
        <v>366</v>
      </c>
      <c r="D22" s="105" t="s">
        <v>267</v>
      </c>
      <c r="E22" s="107" t="s">
        <v>225</v>
      </c>
      <c r="F22" s="107" t="s">
        <v>367</v>
      </c>
      <c r="G22" s="107" t="s">
        <v>368</v>
      </c>
      <c r="H22" s="107" t="s">
        <v>199</v>
      </c>
      <c r="I22" s="105" t="s">
        <v>369</v>
      </c>
      <c r="J22" s="105" t="s">
        <v>370</v>
      </c>
      <c r="K22" s="105" t="s">
        <v>371</v>
      </c>
      <c r="L22" s="105" t="s">
        <v>190</v>
      </c>
      <c r="M22" s="105" t="s">
        <v>372</v>
      </c>
      <c r="N22" s="107" t="s">
        <v>237</v>
      </c>
      <c r="O22" s="107" t="s">
        <v>236</v>
      </c>
      <c r="P22" s="107" t="s">
        <v>311</v>
      </c>
      <c r="Q22" s="107" t="s">
        <v>373</v>
      </c>
      <c r="R22" s="107" t="s">
        <v>374</v>
      </c>
      <c r="S22" s="105" t="s">
        <v>375</v>
      </c>
    </row>
    <row r="23" spans="3:19" ht="15.6" x14ac:dyDescent="0.25">
      <c r="C23" s="107" t="s">
        <v>376</v>
      </c>
      <c r="D23" s="105" t="s">
        <v>377</v>
      </c>
      <c r="E23" s="107" t="s">
        <v>226</v>
      </c>
      <c r="F23" s="107" t="s">
        <v>378</v>
      </c>
      <c r="G23" s="107" t="s">
        <v>146</v>
      </c>
      <c r="H23" s="107" t="s">
        <v>146</v>
      </c>
      <c r="I23" s="105" t="s">
        <v>267</v>
      </c>
      <c r="J23" s="105" t="s">
        <v>211</v>
      </c>
      <c r="K23" s="105" t="s">
        <v>146</v>
      </c>
      <c r="L23" s="105" t="s">
        <v>146</v>
      </c>
      <c r="M23" s="105" t="s">
        <v>379</v>
      </c>
      <c r="N23" s="107" t="s">
        <v>380</v>
      </c>
      <c r="O23" s="107" t="s">
        <v>381</v>
      </c>
      <c r="P23" s="107" t="s">
        <v>146</v>
      </c>
      <c r="Q23" s="107" t="s">
        <v>146</v>
      </c>
      <c r="R23" s="107" t="s">
        <v>382</v>
      </c>
      <c r="S23" s="105" t="s">
        <v>383</v>
      </c>
    </row>
    <row r="24" spans="3:19" ht="15.6" x14ac:dyDescent="0.25">
      <c r="C24" s="107" t="s">
        <v>384</v>
      </c>
      <c r="D24" s="105" t="s">
        <v>385</v>
      </c>
      <c r="E24" s="107" t="s">
        <v>386</v>
      </c>
      <c r="F24" s="107" t="s">
        <v>190</v>
      </c>
      <c r="G24" s="107" t="s">
        <v>387</v>
      </c>
      <c r="H24" s="107" t="s">
        <v>388</v>
      </c>
      <c r="I24" s="105" t="s">
        <v>359</v>
      </c>
      <c r="J24" s="105" t="s">
        <v>358</v>
      </c>
      <c r="K24" s="105" t="s">
        <v>389</v>
      </c>
      <c r="L24" s="105" t="s">
        <v>190</v>
      </c>
      <c r="M24" s="105" t="s">
        <v>390</v>
      </c>
      <c r="N24" s="107" t="s">
        <v>391</v>
      </c>
      <c r="O24" s="107" t="s">
        <v>392</v>
      </c>
      <c r="P24" s="107" t="s">
        <v>393</v>
      </c>
      <c r="Q24" s="107" t="s">
        <v>394</v>
      </c>
      <c r="R24" s="107" t="s">
        <v>395</v>
      </c>
      <c r="S24" s="105" t="s">
        <v>396</v>
      </c>
    </row>
    <row r="25" spans="3:19" ht="15.6" x14ac:dyDescent="0.25">
      <c r="C25" s="107" t="s">
        <v>397</v>
      </c>
      <c r="D25" s="105" t="s">
        <v>398</v>
      </c>
      <c r="E25" s="107" t="s">
        <v>398</v>
      </c>
      <c r="F25" s="107" t="s">
        <v>399</v>
      </c>
      <c r="G25" s="107" t="s">
        <v>400</v>
      </c>
      <c r="H25" s="107" t="s">
        <v>401</v>
      </c>
      <c r="I25" s="105" t="s">
        <v>190</v>
      </c>
      <c r="J25" s="105" t="s">
        <v>227</v>
      </c>
      <c r="K25" s="105" t="s">
        <v>402</v>
      </c>
      <c r="L25" s="105" t="s">
        <v>190</v>
      </c>
      <c r="M25" s="105" t="s">
        <v>403</v>
      </c>
      <c r="N25" s="107" t="s">
        <v>381</v>
      </c>
      <c r="O25" s="107" t="s">
        <v>404</v>
      </c>
      <c r="P25" s="107" t="s">
        <v>405</v>
      </c>
      <c r="Q25" s="107" t="s">
        <v>406</v>
      </c>
      <c r="R25" s="107" t="s">
        <v>407</v>
      </c>
      <c r="S25" s="105" t="s">
        <v>408</v>
      </c>
    </row>
    <row r="26" spans="3:19" ht="15.6" x14ac:dyDescent="0.25">
      <c r="C26" s="107" t="s">
        <v>409</v>
      </c>
      <c r="D26" s="105" t="s">
        <v>410</v>
      </c>
      <c r="E26" s="107" t="s">
        <v>410</v>
      </c>
      <c r="F26" s="107" t="s">
        <v>411</v>
      </c>
      <c r="G26" s="107" t="s">
        <v>412</v>
      </c>
      <c r="H26" s="107" t="s">
        <v>413</v>
      </c>
      <c r="I26" s="105" t="s">
        <v>190</v>
      </c>
      <c r="J26" s="105" t="s">
        <v>190</v>
      </c>
      <c r="K26" s="105" t="s">
        <v>414</v>
      </c>
      <c r="L26" s="105" t="s">
        <v>190</v>
      </c>
      <c r="M26" s="105" t="s">
        <v>414</v>
      </c>
      <c r="N26" s="107" t="s">
        <v>227</v>
      </c>
      <c r="O26" s="107" t="s">
        <v>415</v>
      </c>
      <c r="P26" s="107" t="s">
        <v>416</v>
      </c>
      <c r="Q26" s="107" t="s">
        <v>417</v>
      </c>
      <c r="R26" s="107" t="s">
        <v>418</v>
      </c>
      <c r="S26" s="105" t="s">
        <v>419</v>
      </c>
    </row>
    <row r="27" spans="3:19" ht="15.6" x14ac:dyDescent="0.25">
      <c r="C27" s="107" t="s">
        <v>420</v>
      </c>
      <c r="D27" s="105" t="s">
        <v>332</v>
      </c>
      <c r="E27" s="107" t="s">
        <v>421</v>
      </c>
      <c r="F27" s="107" t="s">
        <v>422</v>
      </c>
      <c r="G27" s="107" t="s">
        <v>423</v>
      </c>
      <c r="H27" s="107" t="s">
        <v>146</v>
      </c>
      <c r="I27" s="105" t="s">
        <v>190</v>
      </c>
      <c r="J27" s="105" t="s">
        <v>190</v>
      </c>
      <c r="K27" s="105" t="s">
        <v>424</v>
      </c>
      <c r="L27" s="105" t="s">
        <v>146</v>
      </c>
      <c r="M27" s="105" t="s">
        <v>424</v>
      </c>
      <c r="N27" s="107" t="s">
        <v>425</v>
      </c>
      <c r="O27" s="107" t="s">
        <v>426</v>
      </c>
      <c r="P27" s="107" t="s">
        <v>427</v>
      </c>
      <c r="Q27" s="107" t="s">
        <v>146</v>
      </c>
      <c r="R27" s="107" t="s">
        <v>428</v>
      </c>
      <c r="S27" s="105" t="s">
        <v>429</v>
      </c>
    </row>
    <row r="28" spans="3:19" ht="15.6" x14ac:dyDescent="0.25">
      <c r="C28" s="107" t="s">
        <v>430</v>
      </c>
      <c r="D28" s="105" t="s">
        <v>431</v>
      </c>
      <c r="E28" s="107" t="s">
        <v>187</v>
      </c>
      <c r="F28" s="107" t="s">
        <v>391</v>
      </c>
      <c r="G28" s="107" t="s">
        <v>360</v>
      </c>
      <c r="H28" s="107" t="s">
        <v>432</v>
      </c>
      <c r="I28" s="105" t="s">
        <v>433</v>
      </c>
      <c r="J28" s="105" t="s">
        <v>425</v>
      </c>
      <c r="K28" s="105" t="s">
        <v>434</v>
      </c>
      <c r="L28" s="105" t="s">
        <v>190</v>
      </c>
      <c r="M28" s="105" t="s">
        <v>435</v>
      </c>
      <c r="N28" s="107" t="s">
        <v>436</v>
      </c>
      <c r="O28" s="107" t="s">
        <v>368</v>
      </c>
      <c r="P28" s="107" t="s">
        <v>437</v>
      </c>
      <c r="Q28" s="107" t="s">
        <v>438</v>
      </c>
      <c r="R28" s="107" t="s">
        <v>439</v>
      </c>
      <c r="S28" s="105" t="s">
        <v>440</v>
      </c>
    </row>
    <row r="29" spans="3:19" ht="15.6" x14ac:dyDescent="0.25">
      <c r="C29" s="107" t="s">
        <v>441</v>
      </c>
      <c r="D29" s="105" t="s">
        <v>442</v>
      </c>
      <c r="E29" s="107" t="s">
        <v>443</v>
      </c>
      <c r="F29" s="107" t="s">
        <v>444</v>
      </c>
      <c r="G29" s="107" t="s">
        <v>445</v>
      </c>
      <c r="H29" s="107" t="s">
        <v>446</v>
      </c>
      <c r="I29" s="105" t="s">
        <v>190</v>
      </c>
      <c r="J29" s="105" t="s">
        <v>421</v>
      </c>
      <c r="K29" s="105" t="s">
        <v>447</v>
      </c>
      <c r="L29" s="105" t="s">
        <v>190</v>
      </c>
      <c r="M29" s="105" t="s">
        <v>448</v>
      </c>
      <c r="N29" s="107" t="s">
        <v>449</v>
      </c>
      <c r="O29" s="107" t="s">
        <v>450</v>
      </c>
      <c r="P29" s="107" t="s">
        <v>451</v>
      </c>
      <c r="Q29" s="107" t="s">
        <v>452</v>
      </c>
      <c r="R29" s="107" t="s">
        <v>453</v>
      </c>
      <c r="S29" s="105" t="s">
        <v>454</v>
      </c>
    </row>
    <row r="30" spans="3:19" ht="15.6" x14ac:dyDescent="0.25">
      <c r="C30" s="107" t="s">
        <v>455</v>
      </c>
      <c r="D30" s="105" t="s">
        <v>456</v>
      </c>
      <c r="E30" s="107" t="s">
        <v>457</v>
      </c>
      <c r="F30" s="107" t="s">
        <v>458</v>
      </c>
      <c r="G30" s="107" t="s">
        <v>459</v>
      </c>
      <c r="H30" s="107" t="s">
        <v>460</v>
      </c>
      <c r="I30" s="105" t="s">
        <v>461</v>
      </c>
      <c r="J30" s="105" t="s">
        <v>462</v>
      </c>
      <c r="K30" s="105" t="s">
        <v>463</v>
      </c>
      <c r="L30" s="105" t="s">
        <v>190</v>
      </c>
      <c r="M30" s="105" t="s">
        <v>464</v>
      </c>
      <c r="N30" s="107" t="s">
        <v>465</v>
      </c>
      <c r="O30" s="107" t="s">
        <v>466</v>
      </c>
      <c r="P30" s="107" t="s">
        <v>467</v>
      </c>
      <c r="Q30" s="107" t="s">
        <v>468</v>
      </c>
      <c r="R30" s="107" t="s">
        <v>469</v>
      </c>
      <c r="S30" s="105" t="s">
        <v>470</v>
      </c>
    </row>
    <row r="31" spans="3:19" ht="15.6" x14ac:dyDescent="0.25">
      <c r="C31" s="107" t="s">
        <v>471</v>
      </c>
      <c r="D31" s="105" t="s">
        <v>472</v>
      </c>
      <c r="E31" s="107" t="s">
        <v>473</v>
      </c>
      <c r="F31" s="107" t="s">
        <v>474</v>
      </c>
      <c r="G31" s="107" t="s">
        <v>361</v>
      </c>
      <c r="H31" s="107" t="s">
        <v>475</v>
      </c>
      <c r="I31" s="105" t="s">
        <v>436</v>
      </c>
      <c r="J31" s="105" t="s">
        <v>476</v>
      </c>
      <c r="K31" s="105" t="s">
        <v>477</v>
      </c>
      <c r="L31" s="105" t="s">
        <v>190</v>
      </c>
      <c r="M31" s="105" t="s">
        <v>478</v>
      </c>
      <c r="N31" s="107" t="s">
        <v>465</v>
      </c>
      <c r="O31" s="107" t="s">
        <v>479</v>
      </c>
      <c r="P31" s="107" t="s">
        <v>480</v>
      </c>
      <c r="Q31" s="107" t="s">
        <v>481</v>
      </c>
      <c r="R31" s="107" t="s">
        <v>482</v>
      </c>
      <c r="S31" s="105" t="s">
        <v>483</v>
      </c>
    </row>
    <row r="32" spans="3:19" ht="15.6" x14ac:dyDescent="0.25">
      <c r="C32" s="107" t="s">
        <v>484</v>
      </c>
      <c r="D32" s="105" t="s">
        <v>485</v>
      </c>
      <c r="E32" s="107" t="s">
        <v>363</v>
      </c>
      <c r="F32" s="107" t="s">
        <v>304</v>
      </c>
      <c r="G32" s="107" t="s">
        <v>486</v>
      </c>
      <c r="H32" s="107" t="s">
        <v>317</v>
      </c>
      <c r="I32" s="105" t="s">
        <v>297</v>
      </c>
      <c r="J32" s="105" t="s">
        <v>487</v>
      </c>
      <c r="K32" s="105" t="s">
        <v>488</v>
      </c>
      <c r="L32" s="105" t="s">
        <v>190</v>
      </c>
      <c r="M32" s="105" t="s">
        <v>489</v>
      </c>
      <c r="N32" s="107" t="s">
        <v>490</v>
      </c>
      <c r="O32" s="107" t="s">
        <v>491</v>
      </c>
      <c r="P32" s="107" t="s">
        <v>492</v>
      </c>
      <c r="Q32" s="107" t="s">
        <v>493</v>
      </c>
      <c r="R32" s="107" t="s">
        <v>494</v>
      </c>
      <c r="S32" s="105" t="s">
        <v>495</v>
      </c>
    </row>
    <row r="33" spans="3:19" ht="15.6" x14ac:dyDescent="0.25">
      <c r="C33" s="107" t="s">
        <v>496</v>
      </c>
      <c r="D33" s="105" t="s">
        <v>497</v>
      </c>
      <c r="E33" s="107" t="s">
        <v>498</v>
      </c>
      <c r="F33" s="107" t="s">
        <v>224</v>
      </c>
      <c r="G33" s="107" t="s">
        <v>499</v>
      </c>
      <c r="H33" s="107" t="s">
        <v>500</v>
      </c>
      <c r="I33" s="105" t="s">
        <v>501</v>
      </c>
      <c r="J33" s="105" t="s">
        <v>502</v>
      </c>
      <c r="K33" s="105" t="s">
        <v>503</v>
      </c>
      <c r="L33" s="105" t="s">
        <v>190</v>
      </c>
      <c r="M33" s="105" t="s">
        <v>504</v>
      </c>
      <c r="N33" s="107" t="s">
        <v>505</v>
      </c>
      <c r="O33" s="107" t="s">
        <v>352</v>
      </c>
      <c r="P33" s="107" t="s">
        <v>245</v>
      </c>
      <c r="Q33" s="107" t="s">
        <v>506</v>
      </c>
      <c r="R33" s="107" t="s">
        <v>507</v>
      </c>
      <c r="S33" s="105" t="s">
        <v>508</v>
      </c>
    </row>
    <row r="34" spans="3:19" ht="15.6" x14ac:dyDescent="0.25">
      <c r="C34" s="107" t="s">
        <v>509</v>
      </c>
      <c r="D34" s="105" t="s">
        <v>510</v>
      </c>
      <c r="E34" s="107" t="s">
        <v>190</v>
      </c>
      <c r="F34" s="107" t="s">
        <v>190</v>
      </c>
      <c r="G34" s="107" t="s">
        <v>190</v>
      </c>
      <c r="H34" s="107" t="s">
        <v>511</v>
      </c>
      <c r="I34" s="105" t="s">
        <v>512</v>
      </c>
      <c r="J34" s="105" t="s">
        <v>513</v>
      </c>
      <c r="K34" s="105" t="s">
        <v>514</v>
      </c>
      <c r="L34" s="105" t="s">
        <v>190</v>
      </c>
      <c r="M34" s="105" t="s">
        <v>515</v>
      </c>
      <c r="N34" s="107" t="s">
        <v>377</v>
      </c>
      <c r="O34" s="107" t="s">
        <v>516</v>
      </c>
      <c r="P34" s="107" t="s">
        <v>517</v>
      </c>
      <c r="Q34" s="107" t="s">
        <v>518</v>
      </c>
      <c r="R34" s="107" t="s">
        <v>519</v>
      </c>
      <c r="S34" s="105" t="s">
        <v>520</v>
      </c>
    </row>
    <row r="35" spans="3:19" ht="15.6" x14ac:dyDescent="0.25">
      <c r="C35" s="107" t="s">
        <v>521</v>
      </c>
      <c r="D35" s="105" t="s">
        <v>522</v>
      </c>
      <c r="E35" s="107" t="s">
        <v>523</v>
      </c>
      <c r="F35" s="107" t="s">
        <v>524</v>
      </c>
      <c r="G35" s="107" t="s">
        <v>525</v>
      </c>
      <c r="H35" s="107" t="s">
        <v>146</v>
      </c>
      <c r="I35" s="105" t="s">
        <v>190</v>
      </c>
      <c r="J35" s="105" t="s">
        <v>526</v>
      </c>
      <c r="K35" s="105" t="s">
        <v>527</v>
      </c>
      <c r="L35" s="105" t="s">
        <v>146</v>
      </c>
      <c r="M35" s="105" t="s">
        <v>528</v>
      </c>
      <c r="N35" s="107" t="s">
        <v>529</v>
      </c>
      <c r="O35" s="107" t="s">
        <v>192</v>
      </c>
      <c r="P35" s="107" t="s">
        <v>530</v>
      </c>
      <c r="Q35" s="107" t="s">
        <v>146</v>
      </c>
      <c r="R35" s="107" t="s">
        <v>459</v>
      </c>
      <c r="S35" s="105" t="s">
        <v>531</v>
      </c>
    </row>
    <row r="36" spans="3:19" ht="15.6" x14ac:dyDescent="0.25">
      <c r="C36" s="107" t="s">
        <v>532</v>
      </c>
      <c r="D36" s="105" t="s">
        <v>533</v>
      </c>
      <c r="E36" s="107" t="s">
        <v>534</v>
      </c>
      <c r="F36" s="107" t="s">
        <v>277</v>
      </c>
      <c r="G36" s="107" t="s">
        <v>535</v>
      </c>
      <c r="H36" s="107" t="s">
        <v>536</v>
      </c>
      <c r="I36" s="105" t="s">
        <v>537</v>
      </c>
      <c r="J36" s="105" t="s">
        <v>538</v>
      </c>
      <c r="K36" s="105" t="s">
        <v>539</v>
      </c>
      <c r="L36" s="105" t="s">
        <v>190</v>
      </c>
      <c r="M36" s="105" t="s">
        <v>540</v>
      </c>
      <c r="N36" s="107" t="s">
        <v>284</v>
      </c>
      <c r="O36" s="107" t="s">
        <v>472</v>
      </c>
      <c r="P36" s="107" t="s">
        <v>541</v>
      </c>
      <c r="Q36" s="107" t="s">
        <v>542</v>
      </c>
      <c r="R36" s="107" t="s">
        <v>543</v>
      </c>
      <c r="S36" s="105" t="s">
        <v>544</v>
      </c>
    </row>
    <row r="37" spans="3:19" ht="15.6" x14ac:dyDescent="0.25">
      <c r="C37" s="107" t="s">
        <v>545</v>
      </c>
      <c r="D37" s="105" t="s">
        <v>546</v>
      </c>
      <c r="E37" s="107" t="s">
        <v>547</v>
      </c>
      <c r="F37" s="107" t="s">
        <v>190</v>
      </c>
      <c r="G37" s="107" t="s">
        <v>548</v>
      </c>
      <c r="H37" s="107" t="s">
        <v>549</v>
      </c>
      <c r="I37" s="105" t="s">
        <v>363</v>
      </c>
      <c r="J37" s="105" t="s">
        <v>550</v>
      </c>
      <c r="K37" s="105" t="s">
        <v>551</v>
      </c>
      <c r="L37" s="105" t="s">
        <v>190</v>
      </c>
      <c r="M37" s="105" t="s">
        <v>552</v>
      </c>
      <c r="N37" s="107" t="s">
        <v>553</v>
      </c>
      <c r="O37" s="107" t="s">
        <v>367</v>
      </c>
      <c r="P37" s="107" t="s">
        <v>554</v>
      </c>
      <c r="Q37" s="107" t="s">
        <v>555</v>
      </c>
      <c r="R37" s="107" t="s">
        <v>556</v>
      </c>
      <c r="S37" s="105" t="s">
        <v>557</v>
      </c>
    </row>
    <row r="38" spans="3:19" ht="15.6" x14ac:dyDescent="0.25">
      <c r="C38" s="107" t="s">
        <v>558</v>
      </c>
      <c r="D38" s="105" t="s">
        <v>559</v>
      </c>
      <c r="E38" s="107" t="s">
        <v>359</v>
      </c>
      <c r="F38" s="107" t="s">
        <v>449</v>
      </c>
      <c r="G38" s="107" t="s">
        <v>468</v>
      </c>
      <c r="H38" s="107" t="s">
        <v>146</v>
      </c>
      <c r="I38" s="105" t="s">
        <v>190</v>
      </c>
      <c r="J38" s="105" t="s">
        <v>560</v>
      </c>
      <c r="K38" s="105" t="s">
        <v>561</v>
      </c>
      <c r="L38" s="105" t="s">
        <v>146</v>
      </c>
      <c r="M38" s="105" t="s">
        <v>562</v>
      </c>
      <c r="N38" s="107" t="s">
        <v>563</v>
      </c>
      <c r="O38" s="107" t="s">
        <v>564</v>
      </c>
      <c r="P38" s="107" t="s">
        <v>438</v>
      </c>
      <c r="Q38" s="107" t="s">
        <v>146</v>
      </c>
      <c r="R38" s="107" t="s">
        <v>565</v>
      </c>
      <c r="S38" s="105" t="s">
        <v>566</v>
      </c>
    </row>
    <row r="39" spans="3:19" ht="15.6" x14ac:dyDescent="0.25">
      <c r="C39" s="107" t="s">
        <v>567</v>
      </c>
      <c r="D39" s="105" t="s">
        <v>568</v>
      </c>
      <c r="E39" s="107" t="s">
        <v>569</v>
      </c>
      <c r="F39" s="107" t="s">
        <v>421</v>
      </c>
      <c r="G39" s="107" t="s">
        <v>570</v>
      </c>
      <c r="H39" s="107" t="s">
        <v>571</v>
      </c>
      <c r="I39" s="105" t="s">
        <v>225</v>
      </c>
      <c r="J39" s="105" t="s">
        <v>572</v>
      </c>
      <c r="K39" s="105" t="s">
        <v>573</v>
      </c>
      <c r="L39" s="105" t="s">
        <v>190</v>
      </c>
      <c r="M39" s="105" t="s">
        <v>574</v>
      </c>
      <c r="N39" s="107" t="s">
        <v>391</v>
      </c>
      <c r="O39" s="107" t="s">
        <v>575</v>
      </c>
      <c r="P39" s="107" t="s">
        <v>576</v>
      </c>
      <c r="Q39" s="107" t="s">
        <v>577</v>
      </c>
      <c r="R39" s="107" t="s">
        <v>578</v>
      </c>
      <c r="S39" s="105" t="s">
        <v>579</v>
      </c>
    </row>
    <row r="40" spans="3:19" ht="15.6" x14ac:dyDescent="0.25">
      <c r="C40" s="107" t="s">
        <v>580</v>
      </c>
      <c r="D40" s="105" t="s">
        <v>510</v>
      </c>
      <c r="E40" s="107" t="s">
        <v>510</v>
      </c>
      <c r="F40" s="107" t="s">
        <v>190</v>
      </c>
      <c r="G40" s="107" t="s">
        <v>581</v>
      </c>
      <c r="H40" s="107" t="s">
        <v>190</v>
      </c>
      <c r="I40" s="105" t="s">
        <v>190</v>
      </c>
      <c r="J40" s="105" t="s">
        <v>582</v>
      </c>
      <c r="K40" s="105" t="s">
        <v>583</v>
      </c>
      <c r="L40" s="105" t="s">
        <v>190</v>
      </c>
      <c r="M40" s="105" t="s">
        <v>584</v>
      </c>
      <c r="N40" s="107" t="s">
        <v>380</v>
      </c>
      <c r="O40" s="107" t="s">
        <v>563</v>
      </c>
      <c r="P40" s="107" t="s">
        <v>460</v>
      </c>
      <c r="Q40" s="107" t="s">
        <v>585</v>
      </c>
      <c r="R40" s="107" t="s">
        <v>586</v>
      </c>
      <c r="S40" s="105" t="s">
        <v>587</v>
      </c>
    </row>
    <row r="41" spans="3:19" ht="15.6" x14ac:dyDescent="0.25">
      <c r="C41" s="107" t="s">
        <v>588</v>
      </c>
      <c r="D41" s="105" t="s">
        <v>238</v>
      </c>
      <c r="E41" s="107" t="s">
        <v>238</v>
      </c>
      <c r="F41" s="107" t="s">
        <v>330</v>
      </c>
      <c r="G41" s="107" t="s">
        <v>589</v>
      </c>
      <c r="H41" s="107" t="s">
        <v>590</v>
      </c>
      <c r="I41" s="105" t="s">
        <v>190</v>
      </c>
      <c r="J41" s="105" t="s">
        <v>190</v>
      </c>
      <c r="K41" s="105" t="s">
        <v>591</v>
      </c>
      <c r="L41" s="105" t="s">
        <v>190</v>
      </c>
      <c r="M41" s="105" t="s">
        <v>591</v>
      </c>
      <c r="N41" s="107" t="s">
        <v>592</v>
      </c>
      <c r="O41" s="107" t="s">
        <v>593</v>
      </c>
      <c r="P41" s="107" t="s">
        <v>438</v>
      </c>
      <c r="Q41" s="107" t="s">
        <v>594</v>
      </c>
      <c r="R41" s="107" t="s">
        <v>595</v>
      </c>
      <c r="S41" s="105" t="s">
        <v>596</v>
      </c>
    </row>
    <row r="42" spans="3:19" ht="15.6" x14ac:dyDescent="0.25">
      <c r="C42" s="107" t="s">
        <v>597</v>
      </c>
      <c r="D42" s="105" t="s">
        <v>190</v>
      </c>
      <c r="E42" s="107" t="s">
        <v>190</v>
      </c>
      <c r="F42" s="107" t="s">
        <v>190</v>
      </c>
      <c r="G42" s="107" t="s">
        <v>190</v>
      </c>
      <c r="H42" s="107" t="s">
        <v>190</v>
      </c>
      <c r="I42" s="105" t="s">
        <v>190</v>
      </c>
      <c r="J42" s="105" t="s">
        <v>190</v>
      </c>
      <c r="K42" s="105" t="s">
        <v>598</v>
      </c>
      <c r="L42" s="105" t="s">
        <v>190</v>
      </c>
      <c r="M42" s="105" t="s">
        <v>598</v>
      </c>
      <c r="N42" s="107" t="s">
        <v>599</v>
      </c>
      <c r="O42" s="107" t="s">
        <v>600</v>
      </c>
      <c r="P42" s="107" t="s">
        <v>328</v>
      </c>
      <c r="Q42" s="107" t="s">
        <v>315</v>
      </c>
      <c r="R42" s="107" t="s">
        <v>601</v>
      </c>
      <c r="S42" s="105" t="s">
        <v>602</v>
      </c>
    </row>
  </sheetData>
  <mergeCells count="9">
    <mergeCell ref="C6:C7"/>
    <mergeCell ref="B3:G3"/>
    <mergeCell ref="B4:G4"/>
    <mergeCell ref="H2:Z2"/>
    <mergeCell ref="S6:S7"/>
    <mergeCell ref="N6:R6"/>
    <mergeCell ref="I6:M6"/>
    <mergeCell ref="E6:H6"/>
    <mergeCell ref="D6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5DEDE-4D39-478C-8082-C3B90169B8D7}">
  <dimension ref="B2:AC57"/>
  <sheetViews>
    <sheetView showGridLines="0" zoomScale="24" zoomScaleNormal="140" workbookViewId="0">
      <selection activeCell="C1" sqref="C1"/>
    </sheetView>
  </sheetViews>
  <sheetFormatPr defaultRowHeight="14.4" x14ac:dyDescent="0.3"/>
  <cols>
    <col min="2" max="2" width="18.6640625" customWidth="1"/>
    <col min="3" max="3" width="11.5546875" customWidth="1"/>
    <col min="4" max="4" width="12" customWidth="1"/>
    <col min="5" max="5" width="10.5546875" customWidth="1"/>
    <col min="6" max="6" width="10.88671875" customWidth="1"/>
    <col min="7" max="7" width="11.33203125" customWidth="1"/>
    <col min="8" max="9" width="11" customWidth="1"/>
    <col min="10" max="10" width="9.88671875" customWidth="1"/>
    <col min="11" max="11" width="10.77734375" customWidth="1"/>
    <col min="12" max="12" width="11" customWidth="1"/>
    <col min="13" max="13" width="11.44140625" customWidth="1"/>
    <col min="14" max="14" width="10.88671875" customWidth="1"/>
    <col min="15" max="15" width="20.21875" customWidth="1"/>
    <col min="16" max="16" width="10.6640625" customWidth="1"/>
    <col min="18" max="18" width="10.77734375" customWidth="1"/>
    <col min="19" max="19" width="10" customWidth="1"/>
    <col min="20" max="20" width="10.21875" customWidth="1"/>
    <col min="21" max="21" width="12.5546875" customWidth="1"/>
    <col min="22" max="22" width="10.109375" customWidth="1"/>
    <col min="23" max="23" width="10.88671875" customWidth="1"/>
    <col min="24" max="24" width="11" customWidth="1"/>
    <col min="25" max="25" width="11.109375" customWidth="1"/>
    <col min="26" max="26" width="10.88671875" customWidth="1"/>
    <col min="27" max="27" width="10.33203125" customWidth="1"/>
    <col min="28" max="28" width="10.44140625" customWidth="1"/>
    <col min="29" max="29" width="10.109375" customWidth="1"/>
  </cols>
  <sheetData>
    <row r="2" spans="2:29" ht="14.4" customHeight="1" x14ac:dyDescent="0.3">
      <c r="I2" s="158" t="s">
        <v>144</v>
      </c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spans="2:29" ht="14.4" customHeight="1" x14ac:dyDescent="0.3">
      <c r="B3" s="117" t="s">
        <v>11</v>
      </c>
      <c r="C3" s="117"/>
      <c r="D3" s="117"/>
      <c r="E3" s="117"/>
      <c r="F3" s="117"/>
      <c r="G3" s="117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</row>
    <row r="4" spans="2:29" ht="15.6" x14ac:dyDescent="0.3">
      <c r="B4" s="117" t="s">
        <v>12</v>
      </c>
      <c r="C4" s="117"/>
      <c r="D4" s="117"/>
      <c r="E4" s="117"/>
      <c r="F4" s="117"/>
      <c r="G4" s="117"/>
    </row>
    <row r="6" spans="2:29" ht="15.6" x14ac:dyDescent="0.3">
      <c r="B6" s="5"/>
      <c r="C6" s="5"/>
      <c r="D6" s="5"/>
      <c r="E6" s="5"/>
      <c r="F6" s="165" t="s">
        <v>6</v>
      </c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7"/>
    </row>
    <row r="7" spans="2:29" ht="15.6" x14ac:dyDescent="0.3">
      <c r="B7" s="168" t="s">
        <v>10</v>
      </c>
      <c r="C7" s="170" t="s">
        <v>90</v>
      </c>
      <c r="D7" s="170" t="s">
        <v>89</v>
      </c>
      <c r="E7" s="169" t="s">
        <v>0</v>
      </c>
      <c r="F7" s="172" t="s">
        <v>8</v>
      </c>
      <c r="G7" s="172"/>
      <c r="H7" s="172"/>
      <c r="I7" s="172"/>
      <c r="J7" s="173" t="s">
        <v>0</v>
      </c>
      <c r="K7" s="174" t="s">
        <v>44</v>
      </c>
      <c r="L7" s="175"/>
      <c r="M7" s="175"/>
      <c r="N7" s="175"/>
      <c r="O7" s="176"/>
      <c r="P7" s="173" t="s">
        <v>0</v>
      </c>
      <c r="Q7" s="172" t="s">
        <v>45</v>
      </c>
      <c r="R7" s="172"/>
      <c r="S7" s="172"/>
      <c r="T7" s="172"/>
      <c r="U7" s="172"/>
      <c r="V7" s="173" t="s">
        <v>0</v>
      </c>
      <c r="W7" s="177" t="s">
        <v>9</v>
      </c>
      <c r="X7" s="177"/>
      <c r="Y7" s="177"/>
      <c r="Z7" s="177"/>
      <c r="AA7" s="162" t="s">
        <v>91</v>
      </c>
      <c r="AB7" s="162" t="s">
        <v>40</v>
      </c>
      <c r="AC7" s="164" t="s">
        <v>41</v>
      </c>
    </row>
    <row r="8" spans="2:29" ht="15.6" x14ac:dyDescent="0.3">
      <c r="B8" s="169"/>
      <c r="C8" s="171"/>
      <c r="D8" s="171"/>
      <c r="E8" s="169"/>
      <c r="F8" s="6" t="s">
        <v>1</v>
      </c>
      <c r="G8" s="6" t="s">
        <v>3</v>
      </c>
      <c r="H8" s="6" t="s">
        <v>2</v>
      </c>
      <c r="I8" s="6" t="s">
        <v>4</v>
      </c>
      <c r="J8" s="171"/>
      <c r="K8" s="15" t="s">
        <v>1</v>
      </c>
      <c r="L8" s="15" t="s">
        <v>3</v>
      </c>
      <c r="M8" s="15" t="s">
        <v>2</v>
      </c>
      <c r="N8" s="15" t="s">
        <v>4</v>
      </c>
      <c r="O8" s="21" t="s">
        <v>5</v>
      </c>
      <c r="P8" s="171"/>
      <c r="Q8" s="6" t="s">
        <v>1</v>
      </c>
      <c r="R8" s="6" t="s">
        <v>3</v>
      </c>
      <c r="S8" s="6" t="s">
        <v>2</v>
      </c>
      <c r="T8" s="6" t="s">
        <v>4</v>
      </c>
      <c r="U8" s="6" t="s">
        <v>5</v>
      </c>
      <c r="V8" s="171"/>
      <c r="W8" s="7" t="s">
        <v>1</v>
      </c>
      <c r="X8" s="7" t="s">
        <v>3</v>
      </c>
      <c r="Y8" s="7" t="s">
        <v>2</v>
      </c>
      <c r="Z8" s="7" t="s">
        <v>4</v>
      </c>
      <c r="AA8" s="163"/>
      <c r="AB8" s="163"/>
      <c r="AC8" s="162"/>
    </row>
    <row r="9" spans="2:29" ht="15.6" x14ac:dyDescent="0.3">
      <c r="B9" s="8">
        <v>1</v>
      </c>
      <c r="C9" s="9">
        <v>0.33333333333333331</v>
      </c>
      <c r="D9" s="9">
        <f>C10-C9</f>
        <v>5.5555555555555913E-3</v>
      </c>
      <c r="E9" s="14"/>
      <c r="F9" s="10"/>
      <c r="G9" s="10">
        <v>0.33333333333333331</v>
      </c>
      <c r="H9" s="10">
        <f>I9-G9</f>
        <v>2.0833333333333259E-3</v>
      </c>
      <c r="I9" s="10">
        <v>0.33541666666666664</v>
      </c>
      <c r="J9" s="14"/>
      <c r="K9" s="9"/>
      <c r="L9" s="9">
        <v>0.33541666666666664</v>
      </c>
      <c r="M9" s="9">
        <f>N9-L9</f>
        <v>1.8518518518518823E-3</v>
      </c>
      <c r="N9" s="9">
        <v>0.33726851851851852</v>
      </c>
      <c r="O9" s="21" t="s">
        <v>18</v>
      </c>
      <c r="P9" s="14"/>
      <c r="Q9" s="16"/>
      <c r="R9" s="10"/>
      <c r="S9" s="10"/>
      <c r="T9" s="10"/>
      <c r="U9" s="17"/>
      <c r="V9" s="14"/>
      <c r="W9" s="9"/>
      <c r="X9" s="9"/>
      <c r="Y9" s="9"/>
      <c r="Z9" s="9"/>
      <c r="AA9" s="22"/>
      <c r="AB9" s="33">
        <f>H9+M9+S9+Y9</f>
        <v>3.9351851851852082E-3</v>
      </c>
      <c r="AC9" s="33">
        <f>SUM(E9,H9,J9,M9,P9,S9,V9,Y9)</f>
        <v>3.9351851851852082E-3</v>
      </c>
    </row>
    <row r="10" spans="2:29" ht="15.6" x14ac:dyDescent="0.3">
      <c r="B10" s="8">
        <v>2</v>
      </c>
      <c r="C10" s="9">
        <v>0.33888888888888891</v>
      </c>
      <c r="D10" s="9">
        <f t="shared" ref="D10:D35" si="0">C11-C10</f>
        <v>1.5509259259259278E-3</v>
      </c>
      <c r="E10" s="14" t="str">
        <f>IF(G10&gt;C10,G10-C10,"")</f>
        <v/>
      </c>
      <c r="F10" s="10">
        <f>IF(G10&gt;I9,G10-I9,"")</f>
        <v>3.4722222222222654E-3</v>
      </c>
      <c r="G10" s="10">
        <v>0.33888888888888891</v>
      </c>
      <c r="H10" s="10">
        <f>I10-G10</f>
        <v>2.0833333333333259E-3</v>
      </c>
      <c r="I10" s="10">
        <v>0.34097222222222223</v>
      </c>
      <c r="J10" s="14" t="str">
        <f>IF(I10&gt;N9,"",N9-I10)</f>
        <v/>
      </c>
      <c r="K10" s="9">
        <f>IF(L10&gt;N9,L10-N9,"")</f>
        <v>3.703703703703709E-3</v>
      </c>
      <c r="L10" s="9">
        <f>IF(I10&gt;N9,I10,N9)</f>
        <v>0.34097222222222223</v>
      </c>
      <c r="M10" s="9">
        <f t="shared" ref="M10:M48" si="1">N10-L10</f>
        <v>1.4120370370370172E-3</v>
      </c>
      <c r="N10" s="9">
        <v>0.34238425925925925</v>
      </c>
      <c r="O10" s="21" t="s">
        <v>18</v>
      </c>
      <c r="P10" s="14"/>
      <c r="Q10" s="16"/>
      <c r="R10" s="10"/>
      <c r="S10" s="10"/>
      <c r="T10" s="10"/>
      <c r="U10" s="17"/>
      <c r="V10" s="14"/>
      <c r="W10" s="9"/>
      <c r="X10" s="9"/>
      <c r="Y10" s="9"/>
      <c r="Z10" s="9"/>
      <c r="AA10" s="22"/>
      <c r="AB10" s="33">
        <f t="shared" ref="AB10:AB48" si="2">H10+M10+S10+Y10</f>
        <v>3.4953703703703431E-3</v>
      </c>
      <c r="AC10" s="33">
        <f t="shared" ref="AC10:AC48" si="3">SUM(E10,H10,J10,M10,P10,S10,V10,Y10)</f>
        <v>3.4953703703703431E-3</v>
      </c>
    </row>
    <row r="11" spans="2:29" ht="15.6" x14ac:dyDescent="0.3">
      <c r="B11" s="8">
        <v>3</v>
      </c>
      <c r="C11" s="9">
        <v>0.34043981481481483</v>
      </c>
      <c r="D11" s="9">
        <f t="shared" si="0"/>
        <v>7.7546296296293615E-4</v>
      </c>
      <c r="E11" s="14">
        <f>IF(G11&gt;C11,G11-C11,"")</f>
        <v>5.3240740740739811E-4</v>
      </c>
      <c r="F11" s="10" t="str">
        <f>IF(G11&gt;I10,G11-I10,"")</f>
        <v/>
      </c>
      <c r="G11" s="10">
        <v>0.34097222222222223</v>
      </c>
      <c r="H11" s="10">
        <f>I11-G11</f>
        <v>1.388888888888884E-3</v>
      </c>
      <c r="I11" s="10">
        <v>0.34236111111111112</v>
      </c>
      <c r="J11" s="14">
        <f t="shared" ref="J11:J48" si="4">IF(I11&gt;N10,"",N10-I11)</f>
        <v>2.3148148148133263E-5</v>
      </c>
      <c r="K11" s="9" t="str">
        <f t="shared" ref="K11:K48" si="5">IF(L11&gt;N10,L11-N10,"")</f>
        <v/>
      </c>
      <c r="L11" s="9">
        <f t="shared" ref="L11:L48" si="6">IF(I11&gt;N10,I11,N10)</f>
        <v>0.34238425925925925</v>
      </c>
      <c r="M11" s="9">
        <f t="shared" si="1"/>
        <v>3.8888888888888862E-3</v>
      </c>
      <c r="N11" s="9">
        <v>0.34627314814814814</v>
      </c>
      <c r="O11" s="21" t="s">
        <v>18</v>
      </c>
      <c r="P11" s="14"/>
      <c r="Q11" s="16"/>
      <c r="R11" s="10"/>
      <c r="S11" s="10"/>
      <c r="T11" s="10"/>
      <c r="U11" s="17"/>
      <c r="V11" s="14"/>
      <c r="W11" s="9"/>
      <c r="X11" s="9"/>
      <c r="Y11" s="9"/>
      <c r="Z11" s="9"/>
      <c r="AA11" s="22">
        <f>SUM(E11,J11,P11,V11)</f>
        <v>5.5555555555553138E-4</v>
      </c>
      <c r="AB11" s="33">
        <f t="shared" si="2"/>
        <v>5.2777777777777701E-3</v>
      </c>
      <c r="AC11" s="33">
        <f t="shared" si="3"/>
        <v>5.8333333333333015E-3</v>
      </c>
    </row>
    <row r="12" spans="2:29" ht="15.6" x14ac:dyDescent="0.3">
      <c r="B12" s="8">
        <v>4</v>
      </c>
      <c r="C12" s="9">
        <v>0.34121527777777777</v>
      </c>
      <c r="D12" s="9">
        <f t="shared" si="0"/>
        <v>9.9537037037039644E-4</v>
      </c>
      <c r="E12" s="14">
        <f t="shared" ref="E12:E33" si="7">IF(G12&gt;C12,G12-C12,"")</f>
        <v>1.1458333333333459E-3</v>
      </c>
      <c r="F12" s="10" t="str">
        <f t="shared" ref="F12:F33" si="8">IF(G12&gt;I11,G12-I11,"")</f>
        <v/>
      </c>
      <c r="G12" s="10">
        <v>0.34236111111111112</v>
      </c>
      <c r="H12" s="10">
        <f t="shared" ref="H12:H48" si="9">I12-G12</f>
        <v>1.388888888888884E-3</v>
      </c>
      <c r="I12" s="10">
        <v>0.34375</v>
      </c>
      <c r="J12" s="14">
        <f t="shared" si="4"/>
        <v>2.5231481481481355E-3</v>
      </c>
      <c r="K12" s="9" t="str">
        <f t="shared" si="5"/>
        <v/>
      </c>
      <c r="L12" s="9">
        <f t="shared" si="6"/>
        <v>0.34627314814814814</v>
      </c>
      <c r="M12" s="9">
        <f t="shared" si="1"/>
        <v>1.0648148148148517E-3</v>
      </c>
      <c r="N12" s="9">
        <v>0.34733796296296299</v>
      </c>
      <c r="O12" s="21" t="s">
        <v>17</v>
      </c>
      <c r="P12" s="14" t="str">
        <f>IF(R12&gt;N12,R12-N12,"")</f>
        <v/>
      </c>
      <c r="Q12" s="16" t="str">
        <f>IF(T12&lt;N12,N12-T12,"")</f>
        <v/>
      </c>
      <c r="R12" s="10">
        <f>N12</f>
        <v>0.34733796296296299</v>
      </c>
      <c r="S12" s="10">
        <f>T12-R12</f>
        <v>3.3796296296296213E-3</v>
      </c>
      <c r="T12" s="10">
        <v>0.35071759259259261</v>
      </c>
      <c r="U12" s="17" t="s">
        <v>19</v>
      </c>
      <c r="V12" s="14"/>
      <c r="W12" s="9"/>
      <c r="X12" s="9"/>
      <c r="Y12" s="9"/>
      <c r="Z12" s="9"/>
      <c r="AA12" s="22">
        <f t="shared" ref="AA12:AA48" si="10">SUM(E12,J12,P12,V12)</f>
        <v>3.6689814814814814E-3</v>
      </c>
      <c r="AB12" s="33">
        <f t="shared" si="2"/>
        <v>5.833333333333357E-3</v>
      </c>
      <c r="AC12" s="33">
        <f t="shared" si="3"/>
        <v>9.5023148148148384E-3</v>
      </c>
    </row>
    <row r="13" spans="2:29" ht="15.6" x14ac:dyDescent="0.3">
      <c r="B13" s="8">
        <v>5</v>
      </c>
      <c r="C13" s="9">
        <v>0.34221064814814817</v>
      </c>
      <c r="D13" s="9">
        <f t="shared" si="0"/>
        <v>9.8379629629630205E-4</v>
      </c>
      <c r="E13" s="14">
        <f t="shared" si="7"/>
        <v>1.5393518518518334E-3</v>
      </c>
      <c r="F13" s="10" t="str">
        <f t="shared" si="8"/>
        <v/>
      </c>
      <c r="G13" s="10">
        <v>0.34375</v>
      </c>
      <c r="H13" s="10">
        <f t="shared" si="9"/>
        <v>9.490740740740744E-4</v>
      </c>
      <c r="I13" s="10">
        <v>0.34469907407407407</v>
      </c>
      <c r="J13" s="14">
        <f t="shared" si="4"/>
        <v>2.6388888888889128E-3</v>
      </c>
      <c r="K13" s="9" t="str">
        <f t="shared" si="5"/>
        <v/>
      </c>
      <c r="L13" s="9">
        <f t="shared" si="6"/>
        <v>0.34733796296296299</v>
      </c>
      <c r="M13" s="9">
        <f t="shared" si="1"/>
        <v>1.1226851851851571E-3</v>
      </c>
      <c r="N13" s="9">
        <v>0.34846064814814814</v>
      </c>
      <c r="O13" s="21" t="s">
        <v>17</v>
      </c>
      <c r="P13" s="14">
        <f t="shared" ref="P13:P48" si="11">IF(R13&gt;N13,R13-N13,"")</f>
        <v>2.2569444444444642E-3</v>
      </c>
      <c r="Q13" s="16" t="str">
        <f t="shared" ref="Q13:Q48" si="12">IF(T13&lt;N13,N13-T13,"")</f>
        <v/>
      </c>
      <c r="R13" s="10">
        <f>IF(T12&gt;N13,T12,N13)</f>
        <v>0.35071759259259261</v>
      </c>
      <c r="S13" s="10">
        <f t="shared" ref="S13:S48" si="13">T13-R13</f>
        <v>6.620370370370332E-3</v>
      </c>
      <c r="T13" s="10">
        <v>0.35733796296296294</v>
      </c>
      <c r="U13" s="17" t="s">
        <v>19</v>
      </c>
      <c r="V13" s="14"/>
      <c r="W13" s="9"/>
      <c r="X13" s="9"/>
      <c r="Y13" s="9"/>
      <c r="Z13" s="9"/>
      <c r="AA13" s="22">
        <f t="shared" si="10"/>
        <v>6.4351851851852104E-3</v>
      </c>
      <c r="AB13" s="33">
        <f t="shared" si="2"/>
        <v>8.6921296296295636E-3</v>
      </c>
      <c r="AC13" s="33">
        <f t="shared" si="3"/>
        <v>1.5127314814814774E-2</v>
      </c>
    </row>
    <row r="14" spans="2:29" ht="15.6" x14ac:dyDescent="0.3">
      <c r="B14" s="8">
        <v>6</v>
      </c>
      <c r="C14" s="9">
        <v>0.34319444444444447</v>
      </c>
      <c r="D14" s="9">
        <f t="shared" si="0"/>
        <v>5.4398148148143699E-4</v>
      </c>
      <c r="E14" s="14">
        <f t="shared" si="7"/>
        <v>1.5046296296296058E-3</v>
      </c>
      <c r="F14" s="10" t="str">
        <f t="shared" si="8"/>
        <v/>
      </c>
      <c r="G14" s="10">
        <v>0.34469907407407407</v>
      </c>
      <c r="H14" s="10">
        <f t="shared" si="9"/>
        <v>1.1458333333333459E-3</v>
      </c>
      <c r="I14" s="10">
        <v>0.34584490740740742</v>
      </c>
      <c r="J14" s="14">
        <f t="shared" si="4"/>
        <v>2.615740740740724E-3</v>
      </c>
      <c r="K14" s="9" t="str">
        <f t="shared" si="5"/>
        <v/>
      </c>
      <c r="L14" s="9">
        <f t="shared" si="6"/>
        <v>0.34846064814814814</v>
      </c>
      <c r="M14" s="9">
        <f t="shared" si="1"/>
        <v>7.6388888888889728E-4</v>
      </c>
      <c r="N14" s="9">
        <v>0.34922453703703704</v>
      </c>
      <c r="O14" s="21" t="s">
        <v>17</v>
      </c>
      <c r="P14" s="14">
        <f t="shared" si="11"/>
        <v>8.113425925925899E-3</v>
      </c>
      <c r="Q14" s="16" t="str">
        <f t="shared" si="12"/>
        <v/>
      </c>
      <c r="R14" s="10">
        <f t="shared" ref="R14:R48" si="14">IF(T13&gt;N14,T13,N14)</f>
        <v>0.35733796296296294</v>
      </c>
      <c r="S14" s="10">
        <f t="shared" si="13"/>
        <v>1.2256944444444473E-2</v>
      </c>
      <c r="T14" s="10">
        <v>0.36959490740740741</v>
      </c>
      <c r="U14" s="17" t="s">
        <v>19</v>
      </c>
      <c r="V14" s="14"/>
      <c r="W14" s="9"/>
      <c r="X14" s="9"/>
      <c r="Y14" s="9"/>
      <c r="Z14" s="9"/>
      <c r="AA14" s="22">
        <f t="shared" si="10"/>
        <v>1.2233796296296229E-2</v>
      </c>
      <c r="AB14" s="33">
        <f t="shared" si="2"/>
        <v>1.4166666666666716E-2</v>
      </c>
      <c r="AC14" s="33">
        <f t="shared" si="3"/>
        <v>2.6400462962962945E-2</v>
      </c>
    </row>
    <row r="15" spans="2:29" ht="15.6" x14ac:dyDescent="0.3">
      <c r="B15" s="8">
        <v>7</v>
      </c>
      <c r="C15" s="9">
        <v>0.34373842592592591</v>
      </c>
      <c r="D15" s="9">
        <f t="shared" si="0"/>
        <v>8.3449074074074536E-3</v>
      </c>
      <c r="E15" s="14">
        <f t="shared" si="7"/>
        <v>2.1064814814815147E-3</v>
      </c>
      <c r="F15" s="10" t="str">
        <f t="shared" si="8"/>
        <v/>
      </c>
      <c r="G15" s="10">
        <v>0.34584490740740742</v>
      </c>
      <c r="H15" s="10">
        <f t="shared" si="9"/>
        <v>1.4004629629629228E-3</v>
      </c>
      <c r="I15" s="10">
        <v>0.34724537037037034</v>
      </c>
      <c r="J15" s="14">
        <f t="shared" si="4"/>
        <v>1.9791666666666985E-3</v>
      </c>
      <c r="K15" s="9" t="str">
        <f t="shared" si="5"/>
        <v/>
      </c>
      <c r="L15" s="9">
        <f t="shared" si="6"/>
        <v>0.34922453703703704</v>
      </c>
      <c r="M15" s="9">
        <f t="shared" si="1"/>
        <v>5.7870370370372015E-4</v>
      </c>
      <c r="N15" s="9">
        <v>0.34980324074074076</v>
      </c>
      <c r="O15" s="21" t="s">
        <v>17</v>
      </c>
      <c r="P15" s="14">
        <f t="shared" si="11"/>
        <v>1.9791666666666652E-2</v>
      </c>
      <c r="Q15" s="16" t="str">
        <f t="shared" si="12"/>
        <v/>
      </c>
      <c r="R15" s="10">
        <f t="shared" si="14"/>
        <v>0.36959490740740741</v>
      </c>
      <c r="S15" s="10">
        <f>T15-R15</f>
        <v>9.6412037037036935E-3</v>
      </c>
      <c r="T15" s="10">
        <v>0.37923611111111111</v>
      </c>
      <c r="U15" s="17" t="s">
        <v>19</v>
      </c>
      <c r="V15" s="14"/>
      <c r="W15" s="9"/>
      <c r="X15" s="9"/>
      <c r="Y15" s="9"/>
      <c r="Z15" s="9"/>
      <c r="AA15" s="22">
        <f t="shared" si="10"/>
        <v>2.3877314814814865E-2</v>
      </c>
      <c r="AB15" s="33">
        <f t="shared" si="2"/>
        <v>1.1620370370370336E-2</v>
      </c>
      <c r="AC15" s="33">
        <f t="shared" si="3"/>
        <v>3.5497685185185202E-2</v>
      </c>
    </row>
    <row r="16" spans="2:29" ht="15.6" x14ac:dyDescent="0.3">
      <c r="B16" s="8">
        <v>8</v>
      </c>
      <c r="C16" s="9">
        <v>0.35208333333333336</v>
      </c>
      <c r="D16" s="9">
        <f t="shared" si="0"/>
        <v>1.1921296296296124E-3</v>
      </c>
      <c r="E16" s="14" t="str">
        <f t="shared" si="7"/>
        <v/>
      </c>
      <c r="F16" s="10">
        <f t="shared" si="8"/>
        <v>4.8379629629630161E-3</v>
      </c>
      <c r="G16" s="10">
        <v>0.35208333333333336</v>
      </c>
      <c r="H16" s="10">
        <f t="shared" si="9"/>
        <v>9.8379629629624654E-4</v>
      </c>
      <c r="I16" s="10">
        <v>0.35306712962962961</v>
      </c>
      <c r="J16" s="14" t="str">
        <f t="shared" si="4"/>
        <v/>
      </c>
      <c r="K16" s="9">
        <f t="shared" si="5"/>
        <v>3.263888888888844E-3</v>
      </c>
      <c r="L16" s="9">
        <f t="shared" si="6"/>
        <v>0.35306712962962961</v>
      </c>
      <c r="M16" s="9">
        <f t="shared" si="1"/>
        <v>1.3541666666667118E-3</v>
      </c>
      <c r="N16" s="9">
        <v>0.35442129629629632</v>
      </c>
      <c r="O16" s="21" t="s">
        <v>18</v>
      </c>
      <c r="P16" s="14" t="str">
        <f t="shared" si="11"/>
        <v/>
      </c>
      <c r="Q16" s="16"/>
      <c r="R16" s="10"/>
      <c r="S16" s="10"/>
      <c r="T16" s="10"/>
      <c r="U16" s="17"/>
      <c r="V16" s="14"/>
      <c r="W16" s="9"/>
      <c r="X16" s="9"/>
      <c r="Y16" s="9"/>
      <c r="Z16" s="9"/>
      <c r="AA16" s="22">
        <f>SUM(E16,J16,P16,V16)</f>
        <v>0</v>
      </c>
      <c r="AB16" s="33">
        <f t="shared" si="2"/>
        <v>2.3379629629629584E-3</v>
      </c>
      <c r="AC16" s="33">
        <f t="shared" si="3"/>
        <v>2.3379629629629584E-3</v>
      </c>
    </row>
    <row r="17" spans="2:29" ht="15.6" x14ac:dyDescent="0.3">
      <c r="B17" s="8">
        <v>9</v>
      </c>
      <c r="C17" s="9">
        <v>0.35327546296296297</v>
      </c>
      <c r="D17" s="9">
        <f t="shared" si="0"/>
        <v>4.745370370370372E-4</v>
      </c>
      <c r="E17" s="14" t="str">
        <f t="shared" si="7"/>
        <v/>
      </c>
      <c r="F17" s="10">
        <f t="shared" si="8"/>
        <v>2.083333333333659E-4</v>
      </c>
      <c r="G17" s="10">
        <v>0.35327546296296297</v>
      </c>
      <c r="H17" s="10">
        <f t="shared" si="9"/>
        <v>1.1921296296296124E-3</v>
      </c>
      <c r="I17" s="10">
        <v>0.35446759259259258</v>
      </c>
      <c r="J17" s="14" t="str">
        <f t="shared" si="4"/>
        <v/>
      </c>
      <c r="K17" s="9">
        <f t="shared" si="5"/>
        <v>4.6296296296266526E-5</v>
      </c>
      <c r="L17" s="9">
        <f t="shared" si="6"/>
        <v>0.35446759259259258</v>
      </c>
      <c r="M17" s="9">
        <f t="shared" si="1"/>
        <v>8.9120370370371349E-4</v>
      </c>
      <c r="N17" s="9">
        <v>0.3553587962962963</v>
      </c>
      <c r="O17" s="21" t="s">
        <v>17</v>
      </c>
      <c r="P17" s="14">
        <f t="shared" si="11"/>
        <v>2.387731481481481E-2</v>
      </c>
      <c r="Q17" s="16" t="str">
        <f t="shared" si="12"/>
        <v/>
      </c>
      <c r="R17" s="10">
        <f>T15</f>
        <v>0.37923611111111111</v>
      </c>
      <c r="S17" s="10">
        <f t="shared" si="13"/>
        <v>2.9745370370370394E-3</v>
      </c>
      <c r="T17" s="10">
        <v>0.38221064814814815</v>
      </c>
      <c r="U17" s="17" t="s">
        <v>19</v>
      </c>
      <c r="V17" s="14"/>
      <c r="W17" s="9"/>
      <c r="X17" s="9"/>
      <c r="Y17" s="9"/>
      <c r="Z17" s="9"/>
      <c r="AA17" s="22">
        <f>SUM(E17,J17,P17,V17)</f>
        <v>2.387731481481481E-2</v>
      </c>
      <c r="AB17" s="33">
        <f t="shared" si="2"/>
        <v>5.0578703703703654E-3</v>
      </c>
      <c r="AC17" s="33">
        <f t="shared" si="3"/>
        <v>2.8935185185185175E-2</v>
      </c>
    </row>
    <row r="18" spans="2:29" ht="15.6" x14ac:dyDescent="0.3">
      <c r="B18" s="8">
        <v>10</v>
      </c>
      <c r="C18" s="9">
        <v>0.35375000000000001</v>
      </c>
      <c r="D18" s="9">
        <f t="shared" si="0"/>
        <v>6.7361111111111094E-3</v>
      </c>
      <c r="E18" s="14">
        <f t="shared" si="7"/>
        <v>7.1759259259257524E-4</v>
      </c>
      <c r="F18" s="10" t="str">
        <f t="shared" si="8"/>
        <v/>
      </c>
      <c r="G18" s="10">
        <v>0.35446759259259258</v>
      </c>
      <c r="H18" s="10">
        <f t="shared" si="9"/>
        <v>1.087962962962985E-3</v>
      </c>
      <c r="I18" s="10">
        <v>0.35555555555555557</v>
      </c>
      <c r="J18" s="14" t="str">
        <f t="shared" si="4"/>
        <v/>
      </c>
      <c r="K18" s="9">
        <f t="shared" si="5"/>
        <v>1.9675925925927151E-4</v>
      </c>
      <c r="L18" s="9">
        <f t="shared" si="6"/>
        <v>0.35555555555555557</v>
      </c>
      <c r="M18" s="9">
        <f t="shared" si="1"/>
        <v>4.1666666666666519E-3</v>
      </c>
      <c r="N18" s="9">
        <v>0.35972222222222222</v>
      </c>
      <c r="O18" s="21" t="s">
        <v>17</v>
      </c>
      <c r="P18" s="14">
        <f t="shared" si="11"/>
        <v>2.2488425925925926E-2</v>
      </c>
      <c r="Q18" s="16" t="str">
        <f t="shared" si="12"/>
        <v/>
      </c>
      <c r="R18" s="10">
        <f t="shared" si="14"/>
        <v>0.38221064814814815</v>
      </c>
      <c r="S18" s="10">
        <f t="shared" si="13"/>
        <v>1.0381944444444458E-2</v>
      </c>
      <c r="T18" s="10">
        <v>0.3925925925925926</v>
      </c>
      <c r="U18" s="17" t="s">
        <v>7</v>
      </c>
      <c r="V18" s="14"/>
      <c r="W18" s="9"/>
      <c r="X18" s="9">
        <f>T18</f>
        <v>0.3925925925925926</v>
      </c>
      <c r="Y18" s="9">
        <v>1.9907407407407374E-3</v>
      </c>
      <c r="Z18" s="9">
        <f>X18+Y18</f>
        <v>0.39458333333333334</v>
      </c>
      <c r="AA18" s="22">
        <f t="shared" si="10"/>
        <v>2.3206018518518501E-2</v>
      </c>
      <c r="AB18" s="33">
        <f t="shared" si="2"/>
        <v>1.7627314814814832E-2</v>
      </c>
      <c r="AC18" s="33">
        <f t="shared" si="3"/>
        <v>4.0833333333333333E-2</v>
      </c>
    </row>
    <row r="19" spans="2:29" ht="15.6" x14ac:dyDescent="0.3">
      <c r="B19" s="8">
        <v>11</v>
      </c>
      <c r="C19" s="9">
        <v>0.36048611111111112</v>
      </c>
      <c r="D19" s="9">
        <f t="shared" si="0"/>
        <v>6.3657407407408106E-4</v>
      </c>
      <c r="E19" s="14" t="str">
        <f t="shared" si="7"/>
        <v/>
      </c>
      <c r="F19" s="10">
        <f t="shared" si="8"/>
        <v>4.9305555555555491E-3</v>
      </c>
      <c r="G19" s="10">
        <v>0.36048611111111112</v>
      </c>
      <c r="H19" s="10">
        <f t="shared" si="9"/>
        <v>8.6805555555552472E-4</v>
      </c>
      <c r="I19" s="10">
        <v>0.36135416666666664</v>
      </c>
      <c r="J19" s="14" t="str">
        <f t="shared" si="4"/>
        <v/>
      </c>
      <c r="K19" s="9">
        <f t="shared" si="5"/>
        <v>1.631944444444422E-3</v>
      </c>
      <c r="L19" s="9">
        <f t="shared" si="6"/>
        <v>0.36135416666666664</v>
      </c>
      <c r="M19" s="9">
        <f t="shared" si="1"/>
        <v>1.9560185185185652E-3</v>
      </c>
      <c r="N19" s="9">
        <v>0.36331018518518521</v>
      </c>
      <c r="O19" s="21" t="s">
        <v>17</v>
      </c>
      <c r="P19" s="14">
        <f t="shared" si="11"/>
        <v>2.9282407407407396E-2</v>
      </c>
      <c r="Q19" s="16" t="str">
        <f t="shared" si="12"/>
        <v/>
      </c>
      <c r="R19" s="10">
        <f t="shared" si="14"/>
        <v>0.3925925925925926</v>
      </c>
      <c r="S19" s="10">
        <f t="shared" si="13"/>
        <v>5.2662037037036757E-3</v>
      </c>
      <c r="T19" s="10">
        <v>0.39785879629629628</v>
      </c>
      <c r="U19" s="17" t="s">
        <v>7</v>
      </c>
      <c r="V19" s="14"/>
      <c r="W19" s="9"/>
      <c r="X19" s="9">
        <f>Z18</f>
        <v>0.39458333333333334</v>
      </c>
      <c r="Y19" s="9">
        <v>2.5115740740740966E-3</v>
      </c>
      <c r="Z19" s="9">
        <f>X19+Y19</f>
        <v>0.39709490740740744</v>
      </c>
      <c r="AA19" s="22">
        <f t="shared" si="10"/>
        <v>2.9282407407407396E-2</v>
      </c>
      <c r="AB19" s="33">
        <f t="shared" si="2"/>
        <v>1.0601851851851862E-2</v>
      </c>
      <c r="AC19" s="33">
        <f t="shared" si="3"/>
        <v>3.9884259259259258E-2</v>
      </c>
    </row>
    <row r="20" spans="2:29" ht="15.6" x14ac:dyDescent="0.3">
      <c r="B20" s="8">
        <v>12</v>
      </c>
      <c r="C20" s="9">
        <v>0.3611226851851852</v>
      </c>
      <c r="D20" s="9">
        <f t="shared" si="0"/>
        <v>1.3078703703703343E-3</v>
      </c>
      <c r="E20" s="14">
        <f t="shared" si="7"/>
        <v>2.3148148148144365E-4</v>
      </c>
      <c r="F20" s="10" t="str">
        <f>IF(G20&gt;I19,G20-I19,"")</f>
        <v/>
      </c>
      <c r="G20" s="10">
        <v>0.36135416666666664</v>
      </c>
      <c r="H20" s="10">
        <f t="shared" si="9"/>
        <v>1.2731481481481621E-3</v>
      </c>
      <c r="I20" s="10">
        <v>0.36262731481481481</v>
      </c>
      <c r="J20" s="14">
        <f t="shared" si="4"/>
        <v>6.828703703704031E-4</v>
      </c>
      <c r="K20" s="9" t="str">
        <f t="shared" si="5"/>
        <v/>
      </c>
      <c r="L20" s="9">
        <f t="shared" si="6"/>
        <v>0.36331018518518521</v>
      </c>
      <c r="M20" s="9">
        <f t="shared" si="1"/>
        <v>2.5231481481481355E-3</v>
      </c>
      <c r="N20" s="9">
        <v>0.36583333333333334</v>
      </c>
      <c r="O20" s="21" t="s">
        <v>18</v>
      </c>
      <c r="P20" s="14" t="str">
        <f t="shared" si="11"/>
        <v/>
      </c>
      <c r="Q20" s="16"/>
      <c r="R20" s="10"/>
      <c r="S20" s="10"/>
      <c r="T20" s="10"/>
      <c r="U20" s="17"/>
      <c r="V20" s="14"/>
      <c r="W20" s="9"/>
      <c r="X20" s="9"/>
      <c r="Y20" s="9"/>
      <c r="Z20" s="9"/>
      <c r="AA20" s="22">
        <f t="shared" si="10"/>
        <v>9.1435185185184675E-4</v>
      </c>
      <c r="AB20" s="33">
        <f t="shared" si="2"/>
        <v>3.7962962962962976E-3</v>
      </c>
      <c r="AC20" s="33">
        <f t="shared" si="3"/>
        <v>4.7106481481481444E-3</v>
      </c>
    </row>
    <row r="21" spans="2:29" ht="15.6" x14ac:dyDescent="0.3">
      <c r="B21" s="8">
        <v>13</v>
      </c>
      <c r="C21" s="9">
        <v>0.36243055555555553</v>
      </c>
      <c r="D21" s="9">
        <f t="shared" si="0"/>
        <v>1.0185185185185297E-3</v>
      </c>
      <c r="E21" s="14">
        <f t="shared" si="7"/>
        <v>1.9675925925927151E-4</v>
      </c>
      <c r="F21" s="10" t="str">
        <f t="shared" si="8"/>
        <v/>
      </c>
      <c r="G21" s="10">
        <v>0.36262731481481481</v>
      </c>
      <c r="H21" s="10">
        <f t="shared" si="9"/>
        <v>9.1435185185184675E-4</v>
      </c>
      <c r="I21" s="10">
        <v>0.36354166666666665</v>
      </c>
      <c r="J21" s="14">
        <f t="shared" si="4"/>
        <v>2.2916666666666918E-3</v>
      </c>
      <c r="K21" s="9" t="str">
        <f t="shared" si="5"/>
        <v/>
      </c>
      <c r="L21" s="9">
        <f t="shared" si="6"/>
        <v>0.36583333333333334</v>
      </c>
      <c r="M21" s="9">
        <f t="shared" si="1"/>
        <v>1.3194444444444287E-3</v>
      </c>
      <c r="N21" s="9">
        <v>0.36715277777777777</v>
      </c>
      <c r="O21" s="21" t="s">
        <v>17</v>
      </c>
      <c r="P21" s="14">
        <f t="shared" si="11"/>
        <v>3.0706018518518507E-2</v>
      </c>
      <c r="Q21" s="16" t="str">
        <f t="shared" si="12"/>
        <v/>
      </c>
      <c r="R21" s="10">
        <f>T19</f>
        <v>0.39785879629629628</v>
      </c>
      <c r="S21" s="10">
        <f t="shared" si="13"/>
        <v>2.4074074074074137E-3</v>
      </c>
      <c r="T21" s="10">
        <v>0.40026620370370369</v>
      </c>
      <c r="U21" s="17" t="s">
        <v>19</v>
      </c>
      <c r="V21" s="14"/>
      <c r="W21" s="9"/>
      <c r="X21" s="9"/>
      <c r="Y21" s="9"/>
      <c r="Z21" s="9"/>
      <c r="AA21" s="22">
        <f t="shared" si="10"/>
        <v>3.3194444444444471E-2</v>
      </c>
      <c r="AB21" s="33">
        <f t="shared" si="2"/>
        <v>4.6412037037036891E-3</v>
      </c>
      <c r="AC21" s="33">
        <f t="shared" si="3"/>
        <v>3.783564814814816E-2</v>
      </c>
    </row>
    <row r="22" spans="2:29" ht="15.6" x14ac:dyDescent="0.3">
      <c r="B22" s="8">
        <v>14</v>
      </c>
      <c r="C22" s="9">
        <v>0.36344907407407406</v>
      </c>
      <c r="D22" s="9">
        <f t="shared" si="0"/>
        <v>4.4328703703703787E-3</v>
      </c>
      <c r="E22" s="14">
        <f t="shared" si="7"/>
        <v>9.2592592592588563E-5</v>
      </c>
      <c r="F22" s="10" t="str">
        <f t="shared" si="8"/>
        <v/>
      </c>
      <c r="G22" s="10">
        <v>0.36354166666666665</v>
      </c>
      <c r="H22" s="10">
        <f t="shared" si="9"/>
        <v>3.4027777777778101E-3</v>
      </c>
      <c r="I22" s="10">
        <v>0.36694444444444446</v>
      </c>
      <c r="J22" s="14">
        <f t="shared" si="4"/>
        <v>2.0833333333331039E-4</v>
      </c>
      <c r="K22" s="9" t="str">
        <f t="shared" si="5"/>
        <v/>
      </c>
      <c r="L22" s="9">
        <f t="shared" si="6"/>
        <v>0.36715277777777777</v>
      </c>
      <c r="M22" s="9">
        <f t="shared" si="1"/>
        <v>3.0208333333333615E-3</v>
      </c>
      <c r="N22" s="9">
        <v>0.37017361111111113</v>
      </c>
      <c r="O22" s="21" t="s">
        <v>17</v>
      </c>
      <c r="P22" s="14">
        <f t="shared" si="11"/>
        <v>3.009259259259256E-2</v>
      </c>
      <c r="Q22" s="16" t="str">
        <f t="shared" si="12"/>
        <v/>
      </c>
      <c r="R22" s="10">
        <f t="shared" si="14"/>
        <v>0.40026620370370369</v>
      </c>
      <c r="S22" s="10">
        <f t="shared" si="13"/>
        <v>1.1087962962962994E-2</v>
      </c>
      <c r="T22" s="10">
        <v>0.41135416666666669</v>
      </c>
      <c r="U22" s="17" t="s">
        <v>7</v>
      </c>
      <c r="V22" s="14"/>
      <c r="W22" s="9">
        <f>X22-Z19</f>
        <v>1.4259259259259249E-2</v>
      </c>
      <c r="X22" s="9">
        <f>T22</f>
        <v>0.41135416666666669</v>
      </c>
      <c r="Y22" s="9">
        <v>5.4745370370370416E-3</v>
      </c>
      <c r="Z22" s="9">
        <f>X22+Y22</f>
        <v>0.41682870370370373</v>
      </c>
      <c r="AA22" s="22">
        <f t="shared" si="10"/>
        <v>3.0393518518518459E-2</v>
      </c>
      <c r="AB22" s="33">
        <f t="shared" si="2"/>
        <v>2.2986111111111207E-2</v>
      </c>
      <c r="AC22" s="33">
        <f t="shared" si="3"/>
        <v>5.3379629629629666E-2</v>
      </c>
    </row>
    <row r="23" spans="2:29" ht="15.6" x14ac:dyDescent="0.3">
      <c r="B23" s="8">
        <v>15</v>
      </c>
      <c r="C23" s="9">
        <v>0.36788194444444444</v>
      </c>
      <c r="D23" s="9">
        <f t="shared" si="0"/>
        <v>5.2430555555555425E-3</v>
      </c>
      <c r="E23" s="14" t="str">
        <f t="shared" si="7"/>
        <v/>
      </c>
      <c r="F23" s="10">
        <f t="shared" si="8"/>
        <v>9.3749999999998002E-4</v>
      </c>
      <c r="G23" s="10">
        <f>IF(C23&gt;I22,C23,I22)</f>
        <v>0.36788194444444444</v>
      </c>
      <c r="H23" s="10">
        <f t="shared" si="9"/>
        <v>7.2916666666666963E-4</v>
      </c>
      <c r="I23" s="10">
        <v>0.36861111111111111</v>
      </c>
      <c r="J23" s="14">
        <f t="shared" si="4"/>
        <v>1.5625000000000222E-3</v>
      </c>
      <c r="K23" s="9" t="str">
        <f t="shared" si="5"/>
        <v/>
      </c>
      <c r="L23" s="9">
        <f t="shared" si="6"/>
        <v>0.37017361111111113</v>
      </c>
      <c r="M23" s="9">
        <f t="shared" si="1"/>
        <v>2.0833333333333259E-3</v>
      </c>
      <c r="N23" s="9">
        <v>0.37225694444444446</v>
      </c>
      <c r="O23" s="21" t="s">
        <v>17</v>
      </c>
      <c r="P23" s="14">
        <f t="shared" si="11"/>
        <v>3.9097222222222228E-2</v>
      </c>
      <c r="Q23" s="16" t="str">
        <f t="shared" si="12"/>
        <v/>
      </c>
      <c r="R23" s="10">
        <f t="shared" si="14"/>
        <v>0.41135416666666669</v>
      </c>
      <c r="S23" s="10">
        <f t="shared" si="13"/>
        <v>3.8773148148147918E-3</v>
      </c>
      <c r="T23" s="10">
        <v>0.41523148148148148</v>
      </c>
      <c r="U23" s="17" t="s">
        <v>19</v>
      </c>
      <c r="V23" s="14"/>
      <c r="W23" s="9"/>
      <c r="X23" s="9"/>
      <c r="Y23" s="9"/>
      <c r="Z23" s="9"/>
      <c r="AA23" s="22">
        <f t="shared" si="10"/>
        <v>4.065972222222225E-2</v>
      </c>
      <c r="AB23" s="33">
        <f t="shared" si="2"/>
        <v>6.6898148148147873E-3</v>
      </c>
      <c r="AC23" s="33">
        <f t="shared" si="3"/>
        <v>4.7349537037037037E-2</v>
      </c>
    </row>
    <row r="24" spans="2:29" ht="15.6" x14ac:dyDescent="0.3">
      <c r="B24" s="8">
        <v>16</v>
      </c>
      <c r="C24" s="9">
        <v>0.37312499999999998</v>
      </c>
      <c r="D24" s="9">
        <f t="shared" si="0"/>
        <v>4.3981481481480955E-4</v>
      </c>
      <c r="E24" s="14" t="str">
        <f t="shared" si="7"/>
        <v/>
      </c>
      <c r="F24" s="10">
        <f t="shared" si="8"/>
        <v>4.5138888888888729E-3</v>
      </c>
      <c r="G24" s="10">
        <f t="shared" ref="G24:G33" si="15">IF(C24&gt;I23,C24,I23)</f>
        <v>0.37312499999999998</v>
      </c>
      <c r="H24" s="10">
        <f t="shared" si="9"/>
        <v>8.5648148148148584E-4</v>
      </c>
      <c r="I24" s="10">
        <v>0.37398148148148147</v>
      </c>
      <c r="J24" s="14" t="str">
        <f t="shared" si="4"/>
        <v/>
      </c>
      <c r="K24" s="9">
        <f t="shared" si="5"/>
        <v>1.7245370370370106E-3</v>
      </c>
      <c r="L24" s="9">
        <f t="shared" si="6"/>
        <v>0.37398148148148147</v>
      </c>
      <c r="M24" s="9">
        <f t="shared" si="1"/>
        <v>1.0185185185185297E-3</v>
      </c>
      <c r="N24" s="9">
        <v>0.375</v>
      </c>
      <c r="O24" s="21" t="s">
        <v>17</v>
      </c>
      <c r="P24" s="14">
        <f t="shared" si="11"/>
        <v>4.0231481481481479E-2</v>
      </c>
      <c r="Q24" s="16" t="str">
        <f t="shared" si="12"/>
        <v/>
      </c>
      <c r="R24" s="10">
        <f t="shared" si="14"/>
        <v>0.41523148148148148</v>
      </c>
      <c r="S24" s="10">
        <f t="shared" si="13"/>
        <v>1.1261574074074077E-2</v>
      </c>
      <c r="T24" s="10">
        <v>0.42649305555555556</v>
      </c>
      <c r="U24" s="17" t="s">
        <v>7</v>
      </c>
      <c r="V24" s="14"/>
      <c r="W24" s="9">
        <f>X24-Z22</f>
        <v>9.6643518518518268E-3</v>
      </c>
      <c r="X24" s="9">
        <f>T24</f>
        <v>0.42649305555555556</v>
      </c>
      <c r="Y24" s="9">
        <v>4.2592592592592959E-3</v>
      </c>
      <c r="Z24" s="9">
        <f>X24+Y24</f>
        <v>0.43075231481481485</v>
      </c>
      <c r="AA24" s="22">
        <f t="shared" si="10"/>
        <v>4.0231481481481479E-2</v>
      </c>
      <c r="AB24" s="33">
        <f t="shared" si="2"/>
        <v>1.7395833333333388E-2</v>
      </c>
      <c r="AC24" s="33">
        <f t="shared" si="3"/>
        <v>5.7627314814814867E-2</v>
      </c>
    </row>
    <row r="25" spans="2:29" ht="15.6" x14ac:dyDescent="0.3">
      <c r="B25" s="8">
        <v>17</v>
      </c>
      <c r="C25" s="9">
        <v>0.37356481481481479</v>
      </c>
      <c r="D25" s="9">
        <f t="shared" si="0"/>
        <v>7.4074074074076401E-4</v>
      </c>
      <c r="E25" s="14">
        <f t="shared" si="7"/>
        <v>4.1666666666667629E-4</v>
      </c>
      <c r="F25" s="10" t="str">
        <f t="shared" si="8"/>
        <v/>
      </c>
      <c r="G25" s="10">
        <f t="shared" si="15"/>
        <v>0.37398148148148147</v>
      </c>
      <c r="H25" s="10">
        <f t="shared" si="9"/>
        <v>9.490740740740744E-4</v>
      </c>
      <c r="I25" s="10">
        <v>0.37493055555555554</v>
      </c>
      <c r="J25" s="14">
        <f t="shared" si="4"/>
        <v>6.94444444444553E-5</v>
      </c>
      <c r="K25" s="9" t="str">
        <f t="shared" si="5"/>
        <v/>
      </c>
      <c r="L25" s="9">
        <f t="shared" si="6"/>
        <v>0.375</v>
      </c>
      <c r="M25" s="9">
        <f t="shared" si="1"/>
        <v>1.5856481481481555E-3</v>
      </c>
      <c r="N25" s="9">
        <v>0.37658564814814816</v>
      </c>
      <c r="O25" s="21" t="s">
        <v>17</v>
      </c>
      <c r="P25" s="14">
        <f t="shared" si="11"/>
        <v>4.99074074074074E-2</v>
      </c>
      <c r="Q25" s="16" t="str">
        <f t="shared" si="12"/>
        <v/>
      </c>
      <c r="R25" s="10">
        <f t="shared" si="14"/>
        <v>0.42649305555555556</v>
      </c>
      <c r="S25" s="10">
        <f t="shared" si="13"/>
        <v>4.5949074074074225E-3</v>
      </c>
      <c r="T25" s="10">
        <v>0.43108796296296298</v>
      </c>
      <c r="U25" s="17" t="s">
        <v>19</v>
      </c>
      <c r="V25" s="14"/>
      <c r="W25" s="9"/>
      <c r="X25" s="9"/>
      <c r="Y25" s="9"/>
      <c r="Z25" s="9"/>
      <c r="AA25" s="22">
        <f t="shared" si="10"/>
        <v>5.0393518518518532E-2</v>
      </c>
      <c r="AB25" s="33">
        <f t="shared" si="2"/>
        <v>7.1296296296296524E-3</v>
      </c>
      <c r="AC25" s="33">
        <f t="shared" si="3"/>
        <v>5.7523148148148184E-2</v>
      </c>
    </row>
    <row r="26" spans="2:29" ht="15.6" x14ac:dyDescent="0.3">
      <c r="B26" s="8">
        <v>18</v>
      </c>
      <c r="C26" s="9">
        <v>0.37430555555555556</v>
      </c>
      <c r="D26" s="9">
        <f t="shared" si="0"/>
        <v>1.6435185185185164E-3</v>
      </c>
      <c r="E26" s="14">
        <f t="shared" si="7"/>
        <v>6.2499999999998668E-4</v>
      </c>
      <c r="F26" s="10" t="str">
        <f t="shared" si="8"/>
        <v/>
      </c>
      <c r="G26" s="10">
        <f t="shared" si="15"/>
        <v>0.37493055555555554</v>
      </c>
      <c r="H26" s="10">
        <f t="shared" si="9"/>
        <v>1.4004629629629783E-3</v>
      </c>
      <c r="I26" s="10">
        <v>0.37633101851851852</v>
      </c>
      <c r="J26" s="14">
        <f t="shared" si="4"/>
        <v>2.5462962962963243E-4</v>
      </c>
      <c r="K26" s="9" t="str">
        <f t="shared" si="5"/>
        <v/>
      </c>
      <c r="L26" s="9">
        <f t="shared" si="6"/>
        <v>0.37658564814814816</v>
      </c>
      <c r="M26" s="9">
        <f t="shared" si="1"/>
        <v>1.9560185185185097E-3</v>
      </c>
      <c r="N26" s="9">
        <v>0.37854166666666667</v>
      </c>
      <c r="O26" s="21" t="s">
        <v>17</v>
      </c>
      <c r="P26" s="14">
        <f t="shared" si="11"/>
        <v>5.2546296296296313E-2</v>
      </c>
      <c r="Q26" s="16" t="str">
        <f t="shared" si="12"/>
        <v/>
      </c>
      <c r="R26" s="10">
        <f t="shared" si="14"/>
        <v>0.43108796296296298</v>
      </c>
      <c r="S26" s="10">
        <f t="shared" si="13"/>
        <v>1.4189814814814794E-2</v>
      </c>
      <c r="T26" s="10">
        <v>0.44527777777777777</v>
      </c>
      <c r="U26" s="17" t="s">
        <v>7</v>
      </c>
      <c r="V26" s="14"/>
      <c r="W26" s="9">
        <f>X26-Z24</f>
        <v>1.4525462962962921E-2</v>
      </c>
      <c r="X26" s="9">
        <f>T26</f>
        <v>0.44527777777777777</v>
      </c>
      <c r="Y26" s="9">
        <v>6.5625000000000266E-3</v>
      </c>
      <c r="Z26" s="9">
        <f>X26+Y26</f>
        <v>0.4518402777777778</v>
      </c>
      <c r="AA26" s="22">
        <f t="shared" si="10"/>
        <v>5.3425925925925932E-2</v>
      </c>
      <c r="AB26" s="33">
        <f t="shared" si="2"/>
        <v>2.4108796296296309E-2</v>
      </c>
      <c r="AC26" s="33">
        <f t="shared" si="3"/>
        <v>7.7534722222222241E-2</v>
      </c>
    </row>
    <row r="27" spans="2:29" ht="15.6" x14ac:dyDescent="0.3">
      <c r="B27" s="8">
        <v>19</v>
      </c>
      <c r="C27" s="9">
        <v>0.37594907407407407</v>
      </c>
      <c r="D27" s="9">
        <f t="shared" si="0"/>
        <v>1.388888888889106E-4</v>
      </c>
      <c r="E27" s="14">
        <f t="shared" si="7"/>
        <v>3.8194444444444864E-4</v>
      </c>
      <c r="F27" s="10" t="str">
        <f t="shared" si="8"/>
        <v/>
      </c>
      <c r="G27" s="10">
        <f t="shared" si="15"/>
        <v>0.37633101851851852</v>
      </c>
      <c r="H27" s="10">
        <f t="shared" si="9"/>
        <v>5.0925925925926485E-4</v>
      </c>
      <c r="I27" s="10">
        <v>0.37684027777777779</v>
      </c>
      <c r="J27" s="14">
        <f t="shared" si="4"/>
        <v>1.7013888888888773E-3</v>
      </c>
      <c r="K27" s="9" t="str">
        <f t="shared" si="5"/>
        <v/>
      </c>
      <c r="L27" s="9">
        <f t="shared" si="6"/>
        <v>0.37854166666666667</v>
      </c>
      <c r="M27" s="9">
        <f t="shared" si="1"/>
        <v>1.5625000000000222E-3</v>
      </c>
      <c r="N27" s="9">
        <v>0.38010416666666669</v>
      </c>
      <c r="O27" s="21" t="s">
        <v>18</v>
      </c>
      <c r="P27" s="14" t="str">
        <f t="shared" si="11"/>
        <v/>
      </c>
      <c r="Q27" s="16"/>
      <c r="R27" s="10"/>
      <c r="S27" s="10"/>
      <c r="T27" s="10"/>
      <c r="U27" s="17"/>
      <c r="V27" s="14"/>
      <c r="W27" s="9" t="s">
        <v>20</v>
      </c>
      <c r="X27" s="9"/>
      <c r="Y27" s="9"/>
      <c r="Z27" s="9"/>
      <c r="AA27" s="22">
        <f t="shared" si="10"/>
        <v>2.0833333333333259E-3</v>
      </c>
      <c r="AB27" s="33">
        <f t="shared" si="2"/>
        <v>2.0717592592592871E-3</v>
      </c>
      <c r="AC27" s="33">
        <f t="shared" si="3"/>
        <v>4.155092592592613E-3</v>
      </c>
    </row>
    <row r="28" spans="2:29" ht="15.6" x14ac:dyDescent="0.3">
      <c r="B28" s="8">
        <v>20</v>
      </c>
      <c r="C28" s="9">
        <v>0.37608796296296299</v>
      </c>
      <c r="D28" s="9">
        <f t="shared" si="0"/>
        <v>1.7592592592592382E-3</v>
      </c>
      <c r="E28" s="14">
        <f t="shared" si="7"/>
        <v>7.5231481481480289E-4</v>
      </c>
      <c r="F28" s="10" t="str">
        <f t="shared" si="8"/>
        <v/>
      </c>
      <c r="G28" s="10">
        <f t="shared" si="15"/>
        <v>0.37684027777777779</v>
      </c>
      <c r="H28" s="10">
        <f t="shared" si="9"/>
        <v>4.745370370370372E-4</v>
      </c>
      <c r="I28" s="10">
        <v>0.37731481481481483</v>
      </c>
      <c r="J28" s="14">
        <f t="shared" si="4"/>
        <v>2.7893518518518623E-3</v>
      </c>
      <c r="K28" s="9" t="str">
        <f t="shared" si="5"/>
        <v/>
      </c>
      <c r="L28" s="9">
        <f t="shared" si="6"/>
        <v>0.38010416666666669</v>
      </c>
      <c r="M28" s="9">
        <f t="shared" si="1"/>
        <v>1.1342592592592515E-3</v>
      </c>
      <c r="N28" s="9">
        <v>0.38123842592592594</v>
      </c>
      <c r="O28" s="21" t="s">
        <v>17</v>
      </c>
      <c r="P28" s="14">
        <f t="shared" si="11"/>
        <v>6.4039351851851833E-2</v>
      </c>
      <c r="Q28" s="16" t="str">
        <f t="shared" si="12"/>
        <v/>
      </c>
      <c r="R28" s="10">
        <f>T26</f>
        <v>0.44527777777777777</v>
      </c>
      <c r="S28" s="10">
        <f t="shared" si="13"/>
        <v>6.6782407407407485E-3</v>
      </c>
      <c r="T28" s="10">
        <v>0.45195601851851852</v>
      </c>
      <c r="U28" s="17" t="s">
        <v>7</v>
      </c>
      <c r="V28" s="14"/>
      <c r="W28" s="9">
        <f>X28-Z26</f>
        <v>1.1574074074072183E-4</v>
      </c>
      <c r="X28" s="9">
        <f>T28</f>
        <v>0.45195601851851852</v>
      </c>
      <c r="Y28" s="9">
        <v>1.2152777777778012E-3</v>
      </c>
      <c r="Z28" s="9">
        <f>X28+Y28</f>
        <v>0.45317129629629632</v>
      </c>
      <c r="AA28" s="22">
        <f t="shared" si="10"/>
        <v>6.7581018518518499E-2</v>
      </c>
      <c r="AB28" s="33">
        <f t="shared" si="2"/>
        <v>9.5023148148148384E-3</v>
      </c>
      <c r="AC28" s="33">
        <f t="shared" si="3"/>
        <v>7.7083333333333337E-2</v>
      </c>
    </row>
    <row r="29" spans="2:29" ht="15.6" x14ac:dyDescent="0.3">
      <c r="B29" s="8">
        <v>21</v>
      </c>
      <c r="C29" s="9">
        <v>0.37784722222222222</v>
      </c>
      <c r="D29" s="9">
        <f t="shared" si="0"/>
        <v>5.0925925925926485E-4</v>
      </c>
      <c r="E29" s="14" t="str">
        <f t="shared" si="7"/>
        <v/>
      </c>
      <c r="F29" s="10">
        <f t="shared" si="8"/>
        <v>5.3240740740739811E-4</v>
      </c>
      <c r="G29" s="10">
        <f t="shared" si="15"/>
        <v>0.37784722222222222</v>
      </c>
      <c r="H29" s="10">
        <f t="shared" si="9"/>
        <v>6.2499999999998668E-4</v>
      </c>
      <c r="I29" s="10">
        <v>0.37847222222222221</v>
      </c>
      <c r="J29" s="14">
        <f t="shared" si="4"/>
        <v>2.766203703703729E-3</v>
      </c>
      <c r="K29" s="9" t="str">
        <f t="shared" si="5"/>
        <v/>
      </c>
      <c r="L29" s="9">
        <f t="shared" si="6"/>
        <v>0.38123842592592594</v>
      </c>
      <c r="M29" s="9">
        <f t="shared" si="1"/>
        <v>1.4004629629629228E-3</v>
      </c>
      <c r="N29" s="9">
        <v>0.38263888888888886</v>
      </c>
      <c r="O29" s="21" t="s">
        <v>18</v>
      </c>
      <c r="P29" s="14" t="str">
        <f t="shared" si="11"/>
        <v/>
      </c>
      <c r="Q29" s="16"/>
      <c r="R29" s="10"/>
      <c r="S29" s="10"/>
      <c r="T29" s="10"/>
      <c r="U29" s="17"/>
      <c r="V29" s="14"/>
      <c r="W29" s="9" t="s">
        <v>20</v>
      </c>
      <c r="X29" s="9"/>
      <c r="Y29" s="9"/>
      <c r="Z29" s="9"/>
      <c r="AA29" s="22">
        <f t="shared" si="10"/>
        <v>2.766203703703729E-3</v>
      </c>
      <c r="AB29" s="33">
        <f t="shared" si="2"/>
        <v>2.0254629629629095E-3</v>
      </c>
      <c r="AC29" s="33">
        <f t="shared" si="3"/>
        <v>4.7916666666666385E-3</v>
      </c>
    </row>
    <row r="30" spans="2:29" ht="15.6" x14ac:dyDescent="0.3">
      <c r="B30" s="8">
        <v>22</v>
      </c>
      <c r="C30" s="9">
        <v>0.37835648148148149</v>
      </c>
      <c r="D30" s="9">
        <f t="shared" si="0"/>
        <v>4.2824074074073737E-3</v>
      </c>
      <c r="E30" s="14">
        <f t="shared" si="7"/>
        <v>1.1574074074072183E-4</v>
      </c>
      <c r="F30" s="10" t="str">
        <f t="shared" si="8"/>
        <v/>
      </c>
      <c r="G30" s="10">
        <f t="shared" si="15"/>
        <v>0.37847222222222221</v>
      </c>
      <c r="H30" s="10">
        <f t="shared" si="9"/>
        <v>8.5648148148148584E-4</v>
      </c>
      <c r="I30" s="10">
        <v>0.3793287037037037</v>
      </c>
      <c r="J30" s="14">
        <f t="shared" si="4"/>
        <v>3.310185185185166E-3</v>
      </c>
      <c r="K30" s="9" t="str">
        <f t="shared" si="5"/>
        <v/>
      </c>
      <c r="L30" s="9">
        <f t="shared" si="6"/>
        <v>0.38263888888888886</v>
      </c>
      <c r="M30" s="9">
        <f t="shared" si="1"/>
        <v>2.2106481481481977E-3</v>
      </c>
      <c r="N30" s="9">
        <v>0.38484953703703706</v>
      </c>
      <c r="O30" s="21" t="s">
        <v>18</v>
      </c>
      <c r="P30" s="14" t="str">
        <f t="shared" si="11"/>
        <v/>
      </c>
      <c r="Q30" s="16"/>
      <c r="R30" s="10"/>
      <c r="S30" s="10"/>
      <c r="T30" s="10"/>
      <c r="U30" s="17"/>
      <c r="V30" s="14"/>
      <c r="W30" s="9" t="s">
        <v>20</v>
      </c>
      <c r="X30" s="9"/>
      <c r="Y30" s="9"/>
      <c r="Z30" s="9"/>
      <c r="AA30" s="22">
        <f t="shared" si="10"/>
        <v>3.4259259259258878E-3</v>
      </c>
      <c r="AB30" s="33">
        <f t="shared" si="2"/>
        <v>3.0671296296296835E-3</v>
      </c>
      <c r="AC30" s="33">
        <f t="shared" si="3"/>
        <v>6.4930555555555713E-3</v>
      </c>
    </row>
    <row r="31" spans="2:29" ht="15.6" x14ac:dyDescent="0.3">
      <c r="B31" s="8">
        <v>23</v>
      </c>
      <c r="C31" s="9">
        <v>0.38263888888888886</v>
      </c>
      <c r="D31" s="9">
        <f t="shared" si="0"/>
        <v>7.8703703703708605E-4</v>
      </c>
      <c r="E31" s="14" t="str">
        <f t="shared" si="7"/>
        <v/>
      </c>
      <c r="F31" s="10">
        <f t="shared" si="8"/>
        <v>3.310185185185166E-3</v>
      </c>
      <c r="G31" s="10">
        <f t="shared" si="15"/>
        <v>0.38263888888888886</v>
      </c>
      <c r="H31" s="10">
        <f t="shared" si="9"/>
        <v>7.6388888888889728E-4</v>
      </c>
      <c r="I31" s="10">
        <v>0.38340277777777776</v>
      </c>
      <c r="J31" s="14">
        <f t="shared" si="4"/>
        <v>1.4467592592593004E-3</v>
      </c>
      <c r="K31" s="9" t="str">
        <f t="shared" si="5"/>
        <v/>
      </c>
      <c r="L31" s="9">
        <f t="shared" si="6"/>
        <v>0.38484953703703706</v>
      </c>
      <c r="M31" s="9">
        <f t="shared" si="1"/>
        <v>1.3425925925925619E-3</v>
      </c>
      <c r="N31" s="9">
        <v>0.38619212962962962</v>
      </c>
      <c r="O31" s="7" t="s">
        <v>17</v>
      </c>
      <c r="P31" s="14">
        <f t="shared" si="11"/>
        <v>6.5763888888888899E-2</v>
      </c>
      <c r="Q31" s="16" t="str">
        <f t="shared" si="12"/>
        <v/>
      </c>
      <c r="R31" s="10">
        <f>T28</f>
        <v>0.45195601851851852</v>
      </c>
      <c r="S31" s="10">
        <f t="shared" si="13"/>
        <v>2.4074074074074137E-3</v>
      </c>
      <c r="T31" s="10">
        <v>0.45436342592592593</v>
      </c>
      <c r="U31" s="17" t="s">
        <v>19</v>
      </c>
      <c r="V31" s="14"/>
      <c r="W31" s="9"/>
      <c r="X31" s="9"/>
      <c r="Y31" s="9"/>
      <c r="Z31" s="9"/>
      <c r="AA31" s="22">
        <f t="shared" si="10"/>
        <v>6.72106481481482E-2</v>
      </c>
      <c r="AB31" s="33">
        <f t="shared" si="2"/>
        <v>4.5138888888888729E-3</v>
      </c>
      <c r="AC31" s="33">
        <f t="shared" si="3"/>
        <v>7.1724537037037073E-2</v>
      </c>
    </row>
    <row r="32" spans="2:29" ht="15.6" x14ac:dyDescent="0.3">
      <c r="B32" s="8">
        <v>24</v>
      </c>
      <c r="C32" s="9">
        <v>0.38342592592592595</v>
      </c>
      <c r="D32" s="9">
        <f t="shared" si="0"/>
        <v>3.2407407407403221E-4</v>
      </c>
      <c r="E32" s="14" t="str">
        <f t="shared" si="7"/>
        <v/>
      </c>
      <c r="F32" s="10">
        <f t="shared" si="8"/>
        <v>2.3148148148188774E-5</v>
      </c>
      <c r="G32" s="10">
        <f t="shared" si="15"/>
        <v>0.38342592592592595</v>
      </c>
      <c r="H32" s="10">
        <f t="shared" si="9"/>
        <v>6.0185185185185341E-4</v>
      </c>
      <c r="I32" s="10">
        <v>0.3840277777777778</v>
      </c>
      <c r="J32" s="14">
        <f t="shared" si="4"/>
        <v>2.1643518518518201E-3</v>
      </c>
      <c r="K32" s="9" t="str">
        <f t="shared" si="5"/>
        <v/>
      </c>
      <c r="L32" s="9">
        <f t="shared" si="6"/>
        <v>0.38619212962962962</v>
      </c>
      <c r="M32" s="9">
        <f t="shared" si="1"/>
        <v>2.1180555555555536E-3</v>
      </c>
      <c r="N32" s="9">
        <v>0.38831018518518517</v>
      </c>
      <c r="O32" s="7" t="s">
        <v>18</v>
      </c>
      <c r="P32" s="14"/>
      <c r="Q32" s="16"/>
      <c r="R32" s="10"/>
      <c r="S32" s="10"/>
      <c r="T32" s="10"/>
      <c r="U32" s="17"/>
      <c r="V32" s="14"/>
      <c r="W32" s="9" t="s">
        <v>20</v>
      </c>
      <c r="X32" s="9"/>
      <c r="Y32" s="9"/>
      <c r="Z32" s="9"/>
      <c r="AA32" s="22">
        <f t="shared" si="10"/>
        <v>2.1643518518518201E-3</v>
      </c>
      <c r="AB32" s="33">
        <f t="shared" si="2"/>
        <v>2.719907407407407E-3</v>
      </c>
      <c r="AC32" s="33">
        <f t="shared" si="3"/>
        <v>4.8842592592592271E-3</v>
      </c>
    </row>
    <row r="33" spans="2:29" ht="15.6" x14ac:dyDescent="0.3">
      <c r="B33" s="8">
        <v>25</v>
      </c>
      <c r="C33" s="9">
        <v>0.38374999999999998</v>
      </c>
      <c r="D33" s="9">
        <f t="shared" si="0"/>
        <v>1.3506944444444446E-2</v>
      </c>
      <c r="E33" s="14">
        <f t="shared" si="7"/>
        <v>2.777777777778212E-4</v>
      </c>
      <c r="F33" s="10" t="str">
        <f t="shared" si="8"/>
        <v/>
      </c>
      <c r="G33" s="10">
        <f t="shared" si="15"/>
        <v>0.3840277777777778</v>
      </c>
      <c r="H33" s="10">
        <f t="shared" si="9"/>
        <v>7.1759259259257524E-4</v>
      </c>
      <c r="I33" s="10">
        <v>0.38474537037037038</v>
      </c>
      <c r="J33" s="14">
        <f t="shared" si="4"/>
        <v>3.5648148148147984E-3</v>
      </c>
      <c r="K33" s="9" t="str">
        <f t="shared" si="5"/>
        <v/>
      </c>
      <c r="L33" s="9">
        <f t="shared" si="6"/>
        <v>0.38831018518518517</v>
      </c>
      <c r="M33" s="9">
        <f t="shared" si="1"/>
        <v>1.1574074074074403E-3</v>
      </c>
      <c r="N33" s="9">
        <v>0.38946759259259262</v>
      </c>
      <c r="O33" s="7" t="s">
        <v>17</v>
      </c>
      <c r="P33" s="14">
        <f t="shared" si="11"/>
        <v>6.4895833333333319E-2</v>
      </c>
      <c r="Q33" s="16" t="str">
        <f t="shared" si="12"/>
        <v/>
      </c>
      <c r="R33" s="10">
        <f>T31</f>
        <v>0.45436342592592593</v>
      </c>
      <c r="S33" s="10">
        <f t="shared" si="13"/>
        <v>3.2638888888888995E-3</v>
      </c>
      <c r="T33" s="10">
        <v>0.45762731481481483</v>
      </c>
      <c r="U33" s="17" t="s">
        <v>19</v>
      </c>
      <c r="V33" s="14"/>
      <c r="W33" s="9"/>
      <c r="X33" s="9"/>
      <c r="Y33" s="9"/>
      <c r="Z33" s="9"/>
      <c r="AA33" s="22">
        <f t="shared" si="10"/>
        <v>6.8738425925925939E-2</v>
      </c>
      <c r="AB33" s="33">
        <f t="shared" si="2"/>
        <v>5.138888888888915E-3</v>
      </c>
      <c r="AC33" s="33">
        <f t="shared" si="3"/>
        <v>7.3877314814814854E-2</v>
      </c>
    </row>
    <row r="34" spans="2:29" ht="15.6" x14ac:dyDescent="0.3">
      <c r="B34" s="8">
        <v>26</v>
      </c>
      <c r="C34" s="9">
        <v>0.39725694444444443</v>
      </c>
      <c r="D34" s="9">
        <f t="shared" si="0"/>
        <v>5.0347222222222321E-3</v>
      </c>
      <c r="E34" s="14" t="str">
        <f>IF(G34&gt;C34,G34-C34,"")</f>
        <v/>
      </c>
      <c r="F34" s="10">
        <f>IF(G34&gt;I33,G34-I33,"")</f>
        <v>1.251157407407405E-2</v>
      </c>
      <c r="G34" s="10">
        <f>IF(C34&gt;I33,C34,I33)</f>
        <v>0.39725694444444443</v>
      </c>
      <c r="H34" s="10">
        <f t="shared" si="9"/>
        <v>1.5625000000000222E-3</v>
      </c>
      <c r="I34" s="10">
        <v>0.39881944444444445</v>
      </c>
      <c r="J34" s="14" t="str">
        <f t="shared" si="4"/>
        <v/>
      </c>
      <c r="K34" s="9">
        <f t="shared" si="5"/>
        <v>9.3518518518518334E-3</v>
      </c>
      <c r="L34" s="9">
        <f t="shared" si="6"/>
        <v>0.39881944444444445</v>
      </c>
      <c r="M34" s="9">
        <f t="shared" si="1"/>
        <v>1.6666666666666496E-3</v>
      </c>
      <c r="N34" s="9">
        <v>0.4004861111111111</v>
      </c>
      <c r="O34" s="7" t="s">
        <v>17</v>
      </c>
      <c r="P34" s="14">
        <f t="shared" si="11"/>
        <v>5.7141203703703736E-2</v>
      </c>
      <c r="Q34" s="16" t="str">
        <f t="shared" si="12"/>
        <v/>
      </c>
      <c r="R34" s="10">
        <f t="shared" si="14"/>
        <v>0.45762731481481483</v>
      </c>
      <c r="S34" s="10">
        <f t="shared" si="13"/>
        <v>7.766203703703678E-3</v>
      </c>
      <c r="T34" s="10">
        <v>0.46539351851851851</v>
      </c>
      <c r="U34" s="17" t="s">
        <v>7</v>
      </c>
      <c r="V34" s="14"/>
      <c r="W34" s="9">
        <f>X34-Z28</f>
        <v>1.222222222222219E-2</v>
      </c>
      <c r="X34" s="9">
        <f>T34</f>
        <v>0.46539351851851851</v>
      </c>
      <c r="Y34" s="9">
        <v>4.9189814814814548E-3</v>
      </c>
      <c r="Z34" s="9">
        <f>X34+Y34</f>
        <v>0.47031249999999997</v>
      </c>
      <c r="AA34" s="22">
        <f t="shared" si="10"/>
        <v>5.7141203703703736E-2</v>
      </c>
      <c r="AB34" s="33">
        <f t="shared" si="2"/>
        <v>1.5914351851851805E-2</v>
      </c>
      <c r="AC34" s="33">
        <f t="shared" si="3"/>
        <v>7.305555555555554E-2</v>
      </c>
    </row>
    <row r="35" spans="2:29" ht="15.6" x14ac:dyDescent="0.3">
      <c r="B35" s="8">
        <v>27</v>
      </c>
      <c r="C35" s="9">
        <v>0.40229166666666666</v>
      </c>
      <c r="D35" s="9">
        <f t="shared" si="0"/>
        <v>3.2638888888888995E-3</v>
      </c>
      <c r="E35" s="14" t="str">
        <f>IF(G35&gt;C35,G35-C35,"")</f>
        <v/>
      </c>
      <c r="F35" s="10">
        <f>IF(G35&gt;I34,G35-I34,"")</f>
        <v>3.4722222222222099E-3</v>
      </c>
      <c r="G35" s="10">
        <f>IF(C35&gt;I34,C35,I34)</f>
        <v>0.40229166666666666</v>
      </c>
      <c r="H35" s="10">
        <f t="shared" si="9"/>
        <v>8.6805555555558023E-4</v>
      </c>
      <c r="I35" s="10">
        <v>0.40315972222222224</v>
      </c>
      <c r="J35" s="14" t="str">
        <f t="shared" si="4"/>
        <v/>
      </c>
      <c r="K35" s="9">
        <f t="shared" si="5"/>
        <v>2.6736111111111405E-3</v>
      </c>
      <c r="L35" s="9">
        <f t="shared" si="6"/>
        <v>0.40315972222222224</v>
      </c>
      <c r="M35" s="9">
        <f t="shared" si="1"/>
        <v>1.0648148148147962E-3</v>
      </c>
      <c r="N35" s="9">
        <v>0.40422453703703703</v>
      </c>
      <c r="O35" s="7" t="s">
        <v>17</v>
      </c>
      <c r="P35" s="14">
        <f t="shared" si="11"/>
        <v>6.1168981481481477E-2</v>
      </c>
      <c r="Q35" s="16" t="str">
        <f t="shared" si="12"/>
        <v/>
      </c>
      <c r="R35" s="10">
        <f t="shared" si="14"/>
        <v>0.46539351851851851</v>
      </c>
      <c r="S35" s="10">
        <f t="shared" si="13"/>
        <v>8.0902777777777657E-3</v>
      </c>
      <c r="T35" s="10">
        <v>0.47348379629629628</v>
      </c>
      <c r="U35" s="17" t="s">
        <v>7</v>
      </c>
      <c r="V35" s="14"/>
      <c r="W35" s="9">
        <f>X35-Z34</f>
        <v>3.1712962962963109E-3</v>
      </c>
      <c r="X35" s="9">
        <f>T35</f>
        <v>0.47348379629629628</v>
      </c>
      <c r="Y35" s="9">
        <v>2.3495370370370371E-3</v>
      </c>
      <c r="Z35" s="9">
        <f t="shared" ref="Z35:Z48" si="16">X35+Y35</f>
        <v>0.47583333333333333</v>
      </c>
      <c r="AA35" s="22">
        <f t="shared" si="10"/>
        <v>6.1168981481481477E-2</v>
      </c>
      <c r="AB35" s="33">
        <f t="shared" si="2"/>
        <v>1.2372685185185179E-2</v>
      </c>
      <c r="AC35" s="33">
        <f t="shared" si="3"/>
        <v>7.3541666666666658E-2</v>
      </c>
    </row>
    <row r="36" spans="2:29" ht="15.6" x14ac:dyDescent="0.3">
      <c r="B36" s="8">
        <v>28</v>
      </c>
      <c r="C36" s="9">
        <v>0.40555555555555556</v>
      </c>
      <c r="D36" s="9">
        <f>C37-C36</f>
        <v>2.5462962962963243E-4</v>
      </c>
      <c r="E36" s="14" t="str">
        <f>IF(G36&gt;C36,G36-C36,"")</f>
        <v/>
      </c>
      <c r="F36" s="10">
        <f>IF(G36&gt;I35,G36-I35,"")</f>
        <v>2.3958333333333193E-3</v>
      </c>
      <c r="G36" s="10">
        <f>IF(C36&gt;I35,C36,I35)</f>
        <v>0.40555555555555556</v>
      </c>
      <c r="H36" s="10">
        <f t="shared" si="9"/>
        <v>6.9444444444444198E-4</v>
      </c>
      <c r="I36" s="10">
        <v>0.40625</v>
      </c>
      <c r="J36" s="14" t="str">
        <f t="shared" si="4"/>
        <v/>
      </c>
      <c r="K36" s="9">
        <f t="shared" si="5"/>
        <v>2.025462962962965E-3</v>
      </c>
      <c r="L36" s="9">
        <f t="shared" si="6"/>
        <v>0.40625</v>
      </c>
      <c r="M36" s="9">
        <f t="shared" si="1"/>
        <v>2.1527777777777812E-3</v>
      </c>
      <c r="N36" s="9">
        <v>0.40840277777777778</v>
      </c>
      <c r="O36" s="7" t="s">
        <v>17</v>
      </c>
      <c r="P36" s="14">
        <f t="shared" si="11"/>
        <v>6.5081018518518496E-2</v>
      </c>
      <c r="Q36" s="16" t="str">
        <f t="shared" si="12"/>
        <v/>
      </c>
      <c r="R36" s="10">
        <f t="shared" si="14"/>
        <v>0.47348379629629628</v>
      </c>
      <c r="S36" s="10">
        <f>T36-R36</f>
        <v>7.0833333333333304E-3</v>
      </c>
      <c r="T36" s="10">
        <v>0.48056712962962961</v>
      </c>
      <c r="U36" s="17" t="s">
        <v>7</v>
      </c>
      <c r="V36" s="14"/>
      <c r="W36" s="9">
        <f t="shared" ref="W36:W37" si="17">X36-Z35</f>
        <v>4.7337962962962776E-3</v>
      </c>
      <c r="X36" s="9">
        <f>T36</f>
        <v>0.48056712962962961</v>
      </c>
      <c r="Y36" s="9">
        <v>4.5138888888888173E-3</v>
      </c>
      <c r="Z36" s="9">
        <f t="shared" si="16"/>
        <v>0.48508101851851843</v>
      </c>
      <c r="AA36" s="22">
        <f t="shared" si="10"/>
        <v>6.5081018518518496E-2</v>
      </c>
      <c r="AB36" s="33">
        <f t="shared" si="2"/>
        <v>1.4444444444444371E-2</v>
      </c>
      <c r="AC36" s="33">
        <f t="shared" si="3"/>
        <v>7.9525462962962867E-2</v>
      </c>
    </row>
    <row r="37" spans="2:29" ht="15.6" x14ac:dyDescent="0.3">
      <c r="B37" s="8">
        <v>29</v>
      </c>
      <c r="C37" s="9">
        <v>0.40581018518518519</v>
      </c>
      <c r="D37" s="9">
        <f>C38-C37</f>
        <v>1.1689814814814792E-3</v>
      </c>
      <c r="E37" s="14">
        <f>IF(G37&gt;C37,G37-C37,"")</f>
        <v>4.3981481481480955E-4</v>
      </c>
      <c r="F37" s="10" t="str">
        <f>IF(G37&gt;I36,G37-I36,"")</f>
        <v/>
      </c>
      <c r="G37" s="10">
        <f>IF(C37&gt;I36,C37,I36)</f>
        <v>0.40625</v>
      </c>
      <c r="H37" s="10">
        <f>I37-G37</f>
        <v>8.5648148148148584E-4</v>
      </c>
      <c r="I37" s="10">
        <v>0.40710648148148149</v>
      </c>
      <c r="J37" s="14">
        <f t="shared" si="4"/>
        <v>1.2962962962962954E-3</v>
      </c>
      <c r="K37" s="9" t="str">
        <f t="shared" si="5"/>
        <v/>
      </c>
      <c r="L37" s="9">
        <f t="shared" si="6"/>
        <v>0.40840277777777778</v>
      </c>
      <c r="M37" s="9">
        <f t="shared" si="1"/>
        <v>1.4583333333333393E-3</v>
      </c>
      <c r="N37" s="9">
        <v>0.40986111111111112</v>
      </c>
      <c r="O37" s="7" t="s">
        <v>17</v>
      </c>
      <c r="P37" s="14">
        <f t="shared" si="11"/>
        <v>7.0706018518518488E-2</v>
      </c>
      <c r="Q37" s="16" t="str">
        <f t="shared" si="12"/>
        <v/>
      </c>
      <c r="R37" s="10">
        <f t="shared" si="14"/>
        <v>0.48056712962962961</v>
      </c>
      <c r="S37" s="10">
        <f t="shared" si="13"/>
        <v>5.0115740740740988E-3</v>
      </c>
      <c r="T37" s="10">
        <v>0.48557870370370371</v>
      </c>
      <c r="U37" s="17" t="s">
        <v>7</v>
      </c>
      <c r="V37" s="14"/>
      <c r="W37" s="9">
        <f t="shared" si="17"/>
        <v>4.9768518518528149E-4</v>
      </c>
      <c r="X37" s="9">
        <f>T37</f>
        <v>0.48557870370370371</v>
      </c>
      <c r="Y37" s="9">
        <v>3.2060185185185386E-3</v>
      </c>
      <c r="Z37" s="9">
        <f t="shared" si="16"/>
        <v>0.48878472222222225</v>
      </c>
      <c r="AA37" s="22">
        <f t="shared" si="10"/>
        <v>7.2442129629629592E-2</v>
      </c>
      <c r="AB37" s="33">
        <f t="shared" si="2"/>
        <v>1.0532407407407463E-2</v>
      </c>
      <c r="AC37" s="33">
        <f t="shared" si="3"/>
        <v>8.2974537037037055E-2</v>
      </c>
    </row>
    <row r="38" spans="2:29" ht="15.6" x14ac:dyDescent="0.3">
      <c r="B38" s="8">
        <v>30</v>
      </c>
      <c r="C38" s="9">
        <v>0.40697916666666667</v>
      </c>
      <c r="D38" s="9">
        <f t="shared" ref="D38:D45" si="18">C39-C38</f>
        <v>2.9745370370370394E-3</v>
      </c>
      <c r="E38" s="14">
        <f t="shared" ref="E38:E46" si="19">IF(G38&gt;C38,G38-C38,"")</f>
        <v>1.2731481481481621E-4</v>
      </c>
      <c r="F38" s="10" t="str">
        <f t="shared" ref="F38:F46" si="20">IF(G38&gt;I37,G38-I37,"")</f>
        <v/>
      </c>
      <c r="G38" s="10">
        <f t="shared" ref="G38:G46" si="21">IF(C38&gt;I37,C38,I37)</f>
        <v>0.40710648148148149</v>
      </c>
      <c r="H38" s="10">
        <f t="shared" si="9"/>
        <v>1.2962962962962954E-3</v>
      </c>
      <c r="I38" s="10">
        <v>0.40840277777777778</v>
      </c>
      <c r="J38" s="14">
        <f t="shared" si="4"/>
        <v>1.4583333333333393E-3</v>
      </c>
      <c r="K38" s="9" t="str">
        <f t="shared" si="5"/>
        <v/>
      </c>
      <c r="L38" s="9">
        <f t="shared" si="6"/>
        <v>0.40986111111111112</v>
      </c>
      <c r="M38" s="9">
        <f t="shared" si="1"/>
        <v>1.2152777777777457E-3</v>
      </c>
      <c r="N38" s="9">
        <v>0.41107638888888887</v>
      </c>
      <c r="O38" s="7" t="s">
        <v>17</v>
      </c>
      <c r="P38" s="14">
        <f t="shared" si="11"/>
        <v>7.4502314814814841E-2</v>
      </c>
      <c r="Q38" s="16" t="str">
        <f t="shared" si="12"/>
        <v/>
      </c>
      <c r="R38" s="10">
        <f t="shared" si="14"/>
        <v>0.48557870370370371</v>
      </c>
      <c r="S38" s="10">
        <f t="shared" si="13"/>
        <v>5.5787037037037246E-3</v>
      </c>
      <c r="T38" s="10">
        <v>0.49115740740740743</v>
      </c>
      <c r="U38" s="17" t="s">
        <v>7</v>
      </c>
      <c r="V38" s="14"/>
      <c r="W38" s="9">
        <f>X38-Z37</f>
        <v>2.372685185185186E-3</v>
      </c>
      <c r="X38" s="9">
        <f>T38</f>
        <v>0.49115740740740743</v>
      </c>
      <c r="Y38" s="9">
        <v>2.2685185185185031E-3</v>
      </c>
      <c r="Z38" s="9">
        <f t="shared" si="16"/>
        <v>0.49342592592592593</v>
      </c>
      <c r="AA38" s="22">
        <f t="shared" si="10"/>
        <v>7.6087962962962996E-2</v>
      </c>
      <c r="AB38" s="33">
        <f t="shared" si="2"/>
        <v>1.0358796296296269E-2</v>
      </c>
      <c r="AC38" s="33">
        <f t="shared" si="3"/>
        <v>8.6446759259259265E-2</v>
      </c>
    </row>
    <row r="39" spans="2:29" ht="15.6" x14ac:dyDescent="0.3">
      <c r="B39" s="8">
        <v>31</v>
      </c>
      <c r="C39" s="9">
        <v>0.40995370370370371</v>
      </c>
      <c r="D39" s="9">
        <f t="shared" si="18"/>
        <v>5.6712962962962576E-4</v>
      </c>
      <c r="E39" s="14" t="str">
        <f t="shared" si="19"/>
        <v/>
      </c>
      <c r="F39" s="10">
        <f t="shared" si="20"/>
        <v>1.5509259259259278E-3</v>
      </c>
      <c r="G39" s="10">
        <f t="shared" si="21"/>
        <v>0.40995370370370371</v>
      </c>
      <c r="H39" s="10">
        <f t="shared" si="9"/>
        <v>1.1574074074073848E-3</v>
      </c>
      <c r="I39" s="10">
        <v>0.41111111111111109</v>
      </c>
      <c r="J39" s="14" t="str">
        <f t="shared" si="4"/>
        <v/>
      </c>
      <c r="K39" s="9">
        <f t="shared" si="5"/>
        <v>3.472222222222765E-5</v>
      </c>
      <c r="L39" s="9">
        <f t="shared" si="6"/>
        <v>0.41111111111111109</v>
      </c>
      <c r="M39" s="9">
        <f t="shared" si="1"/>
        <v>1.4930555555555669E-3</v>
      </c>
      <c r="N39" s="9">
        <v>0.41260416666666666</v>
      </c>
      <c r="O39" s="7" t="s">
        <v>17</v>
      </c>
      <c r="P39" s="14">
        <f t="shared" si="11"/>
        <v>7.8553240740740771E-2</v>
      </c>
      <c r="Q39" s="16" t="str">
        <f t="shared" si="12"/>
        <v/>
      </c>
      <c r="R39" s="10">
        <f t="shared" si="14"/>
        <v>0.49115740740740743</v>
      </c>
      <c r="S39" s="10">
        <f t="shared" si="13"/>
        <v>4.9999999999999489E-3</v>
      </c>
      <c r="T39" s="10">
        <v>0.49615740740740738</v>
      </c>
      <c r="U39" s="17" t="s">
        <v>19</v>
      </c>
      <c r="V39" s="14"/>
      <c r="W39" s="9"/>
      <c r="X39" s="9"/>
      <c r="Y39" s="9"/>
      <c r="Z39" s="9"/>
      <c r="AA39" s="22">
        <f t="shared" si="10"/>
        <v>7.8553240740740771E-2</v>
      </c>
      <c r="AB39" s="33">
        <f t="shared" si="2"/>
        <v>7.6504629629629006E-3</v>
      </c>
      <c r="AC39" s="33">
        <f t="shared" si="3"/>
        <v>8.6203703703703671E-2</v>
      </c>
    </row>
    <row r="40" spans="2:29" ht="15.6" x14ac:dyDescent="0.3">
      <c r="B40" s="8">
        <v>32</v>
      </c>
      <c r="C40" s="9">
        <v>0.41052083333333333</v>
      </c>
      <c r="D40" s="9">
        <f t="shared" si="18"/>
        <v>2.0717592592592315E-3</v>
      </c>
      <c r="E40" s="14">
        <f t="shared" si="19"/>
        <v>5.9027777777775903E-4</v>
      </c>
      <c r="F40" s="10" t="str">
        <f t="shared" si="20"/>
        <v/>
      </c>
      <c r="G40" s="10">
        <f t="shared" si="21"/>
        <v>0.41111111111111109</v>
      </c>
      <c r="H40" s="10">
        <f t="shared" si="9"/>
        <v>1.782407407407427E-3</v>
      </c>
      <c r="I40" s="10">
        <v>0.41289351851851852</v>
      </c>
      <c r="J40" s="14" t="str">
        <f t="shared" si="4"/>
        <v/>
      </c>
      <c r="K40" s="9">
        <f t="shared" si="5"/>
        <v>2.8935185185186008E-4</v>
      </c>
      <c r="L40" s="9">
        <f t="shared" si="6"/>
        <v>0.41289351851851852</v>
      </c>
      <c r="M40" s="9">
        <f t="shared" si="1"/>
        <v>1.4930555555555669E-3</v>
      </c>
      <c r="N40" s="9">
        <v>0.41438657407407409</v>
      </c>
      <c r="O40" s="7" t="s">
        <v>18</v>
      </c>
      <c r="P40" s="14" t="str">
        <f t="shared" si="11"/>
        <v/>
      </c>
      <c r="Q40" s="16"/>
      <c r="R40" s="10"/>
      <c r="S40" s="10"/>
      <c r="T40" s="10"/>
      <c r="U40" s="17"/>
      <c r="V40" s="14"/>
      <c r="W40" s="9" t="s">
        <v>20</v>
      </c>
      <c r="X40" s="9"/>
      <c r="Y40" s="9"/>
      <c r="Z40" s="9"/>
      <c r="AA40" s="22">
        <f t="shared" si="10"/>
        <v>5.9027777777775903E-4</v>
      </c>
      <c r="AB40" s="33">
        <f t="shared" si="2"/>
        <v>3.2754629629629939E-3</v>
      </c>
      <c r="AC40" s="33">
        <f t="shared" si="3"/>
        <v>3.8657407407407529E-3</v>
      </c>
    </row>
    <row r="41" spans="2:29" ht="15.6" x14ac:dyDescent="0.3">
      <c r="B41" s="8">
        <v>33</v>
      </c>
      <c r="C41" s="9">
        <v>0.41259259259259257</v>
      </c>
      <c r="D41" s="9">
        <f t="shared" si="18"/>
        <v>0</v>
      </c>
      <c r="E41" s="14">
        <f t="shared" si="19"/>
        <v>3.0092592592595446E-4</v>
      </c>
      <c r="F41" s="10" t="str">
        <f t="shared" si="20"/>
        <v/>
      </c>
      <c r="G41" s="10">
        <f t="shared" si="21"/>
        <v>0.41289351851851852</v>
      </c>
      <c r="H41" s="10">
        <f t="shared" si="9"/>
        <v>9.9537037037034093E-4</v>
      </c>
      <c r="I41" s="10">
        <v>0.41388888888888886</v>
      </c>
      <c r="J41" s="14">
        <f t="shared" si="4"/>
        <v>4.9768518518522598E-4</v>
      </c>
      <c r="K41" s="9" t="str">
        <f t="shared" si="5"/>
        <v/>
      </c>
      <c r="L41" s="9">
        <f t="shared" si="6"/>
        <v>0.41438657407407409</v>
      </c>
      <c r="M41" s="9">
        <f t="shared" si="1"/>
        <v>8.3333333333329707E-4</v>
      </c>
      <c r="N41" s="9">
        <v>0.41521990740740738</v>
      </c>
      <c r="O41" s="7" t="s">
        <v>17</v>
      </c>
      <c r="P41" s="14">
        <f t="shared" si="11"/>
        <v>8.0937499999999996E-2</v>
      </c>
      <c r="Q41" s="16" t="str">
        <f t="shared" si="12"/>
        <v/>
      </c>
      <c r="R41" s="10">
        <f>T39</f>
        <v>0.49615740740740738</v>
      </c>
      <c r="S41" s="10">
        <f t="shared" si="13"/>
        <v>5.0231481481481377E-3</v>
      </c>
      <c r="T41" s="10">
        <v>0.50118055555555552</v>
      </c>
      <c r="U41" s="17" t="s">
        <v>7</v>
      </c>
      <c r="V41" s="14"/>
      <c r="W41" s="9">
        <v>2.1990740740740478E-3</v>
      </c>
      <c r="X41" s="9">
        <f>T41</f>
        <v>0.50118055555555552</v>
      </c>
      <c r="Y41" s="9">
        <v>5.2777777777778256E-3</v>
      </c>
      <c r="Z41" s="9">
        <f t="shared" si="16"/>
        <v>0.50645833333333334</v>
      </c>
      <c r="AA41" s="22">
        <f t="shared" si="10"/>
        <v>8.1736111111111176E-2</v>
      </c>
      <c r="AB41" s="33">
        <f t="shared" si="2"/>
        <v>1.2129629629629601E-2</v>
      </c>
      <c r="AC41" s="33">
        <f t="shared" si="3"/>
        <v>9.3865740740740777E-2</v>
      </c>
    </row>
    <row r="42" spans="2:29" ht="15.6" x14ac:dyDescent="0.3">
      <c r="B42" s="8">
        <v>34</v>
      </c>
      <c r="C42" s="9">
        <v>0.41259259259259257</v>
      </c>
      <c r="D42" s="9">
        <f>C43-C42</f>
        <v>3.5185185185185319E-3</v>
      </c>
      <c r="E42" s="14">
        <f>IF(G42&gt;C42,G42-C42,"")</f>
        <v>1.2962962962962954E-3</v>
      </c>
      <c r="F42" s="10" t="str">
        <f>IF(G42&gt;I41,G42-I41,"")</f>
        <v/>
      </c>
      <c r="G42" s="10">
        <f>IF(C42&gt;I41,C42,I41)</f>
        <v>0.41388888888888886</v>
      </c>
      <c r="H42" s="10">
        <f>I42-G42</f>
        <v>6.9444444444449749E-4</v>
      </c>
      <c r="I42" s="10">
        <v>0.41458333333333336</v>
      </c>
      <c r="J42" s="14">
        <f t="shared" si="4"/>
        <v>6.3657407407402555E-4</v>
      </c>
      <c r="K42" s="9" t="str">
        <f t="shared" si="5"/>
        <v/>
      </c>
      <c r="L42" s="9">
        <f t="shared" si="6"/>
        <v>0.41521990740740738</v>
      </c>
      <c r="M42" s="9">
        <f t="shared" si="1"/>
        <v>2.2569444444444642E-3</v>
      </c>
      <c r="N42" s="9">
        <v>0.41747685185185185</v>
      </c>
      <c r="O42" s="7" t="s">
        <v>17</v>
      </c>
      <c r="P42" s="14">
        <f t="shared" si="11"/>
        <v>8.3703703703703669E-2</v>
      </c>
      <c r="Q42" s="16" t="str">
        <f t="shared" si="12"/>
        <v/>
      </c>
      <c r="R42" s="10">
        <f t="shared" si="14"/>
        <v>0.50118055555555552</v>
      </c>
      <c r="S42" s="10">
        <f t="shared" si="13"/>
        <v>3.4259259259259434E-3</v>
      </c>
      <c r="T42" s="10">
        <v>0.50460648148148146</v>
      </c>
      <c r="U42" s="17" t="s">
        <v>19</v>
      </c>
      <c r="V42" s="14"/>
      <c r="W42" s="9"/>
      <c r="X42" s="9"/>
      <c r="Y42" s="9"/>
      <c r="Z42" s="9"/>
      <c r="AA42" s="22">
        <f t="shared" si="10"/>
        <v>8.563657407407399E-2</v>
      </c>
      <c r="AB42" s="33">
        <f t="shared" si="2"/>
        <v>6.377314814814905E-3</v>
      </c>
      <c r="AC42" s="33">
        <f t="shared" si="3"/>
        <v>9.2013888888888895E-2</v>
      </c>
    </row>
    <row r="43" spans="2:29" ht="15.6" x14ac:dyDescent="0.3">
      <c r="B43" s="8">
        <v>35</v>
      </c>
      <c r="C43" s="9">
        <v>0.4161111111111111</v>
      </c>
      <c r="D43" s="9">
        <f>C44-C43</f>
        <v>6.2268518518518445E-3</v>
      </c>
      <c r="E43" s="14" t="str">
        <f>IF(G43&gt;C43,G43-C43,"")</f>
        <v/>
      </c>
      <c r="F43" s="10">
        <f>IF(G43&gt;I42,G43-I42,"")</f>
        <v>1.527777777777739E-3</v>
      </c>
      <c r="G43" s="10">
        <f>IF(C43&gt;I42,C43,I42)</f>
        <v>0.4161111111111111</v>
      </c>
      <c r="H43" s="10">
        <f>I43-G43</f>
        <v>1.2847222222222565E-3</v>
      </c>
      <c r="I43" s="10">
        <v>0.41739583333333335</v>
      </c>
      <c r="J43" s="14">
        <f t="shared" si="4"/>
        <v>8.1018518518494176E-5</v>
      </c>
      <c r="K43" s="9" t="str">
        <f t="shared" si="5"/>
        <v/>
      </c>
      <c r="L43" s="9">
        <f t="shared" si="6"/>
        <v>0.41747685185185185</v>
      </c>
      <c r="M43" s="9">
        <f t="shared" si="1"/>
        <v>1.9675925925926041E-3</v>
      </c>
      <c r="N43" s="9">
        <v>0.41944444444444445</v>
      </c>
      <c r="O43" s="7" t="s">
        <v>17</v>
      </c>
      <c r="P43" s="14">
        <f t="shared" si="11"/>
        <v>8.5162037037037008E-2</v>
      </c>
      <c r="Q43" s="16" t="str">
        <f t="shared" si="12"/>
        <v/>
      </c>
      <c r="R43" s="10">
        <f t="shared" si="14"/>
        <v>0.50460648148148146</v>
      </c>
      <c r="S43" s="10">
        <f t="shared" si="13"/>
        <v>4.0856481481481577E-3</v>
      </c>
      <c r="T43" s="10">
        <v>0.50869212962962962</v>
      </c>
      <c r="U43" s="17" t="s">
        <v>7</v>
      </c>
      <c r="V43" s="14"/>
      <c r="W43" s="9">
        <f>X43-Z41</f>
        <v>2.2337962962962754E-3</v>
      </c>
      <c r="X43" s="9">
        <f>T43</f>
        <v>0.50869212962962962</v>
      </c>
      <c r="Y43" s="9">
        <v>1.5856481481481E-3</v>
      </c>
      <c r="Z43" s="9">
        <f t="shared" si="16"/>
        <v>0.51027777777777772</v>
      </c>
      <c r="AA43" s="22">
        <f>SUM(E43,J43,P43,V43)</f>
        <v>8.5243055555555503E-2</v>
      </c>
      <c r="AB43" s="33">
        <f t="shared" si="2"/>
        <v>8.9236111111111183E-3</v>
      </c>
      <c r="AC43" s="33">
        <f t="shared" si="3"/>
        <v>9.4166666666666621E-2</v>
      </c>
    </row>
    <row r="44" spans="2:29" ht="15.6" x14ac:dyDescent="0.3">
      <c r="B44" s="8">
        <v>36</v>
      </c>
      <c r="C44" s="9">
        <v>0.42233796296296294</v>
      </c>
      <c r="D44" s="9">
        <f t="shared" si="18"/>
        <v>5.5787037037037246E-3</v>
      </c>
      <c r="E44" s="14" t="str">
        <f t="shared" si="19"/>
        <v/>
      </c>
      <c r="F44" s="10">
        <f t="shared" si="20"/>
        <v>4.942129629629588E-3</v>
      </c>
      <c r="G44" s="10">
        <f t="shared" si="21"/>
        <v>0.42233796296296294</v>
      </c>
      <c r="H44" s="10">
        <f t="shared" si="9"/>
        <v>1.3773148148148451E-3</v>
      </c>
      <c r="I44" s="10">
        <v>0.42371527777777779</v>
      </c>
      <c r="J44" s="14" t="str">
        <f t="shared" si="4"/>
        <v/>
      </c>
      <c r="K44" s="9">
        <f t="shared" si="5"/>
        <v>4.2708333333333348E-3</v>
      </c>
      <c r="L44" s="9">
        <f>IF(I44&gt;N43,I44,N43)</f>
        <v>0.42371527777777779</v>
      </c>
      <c r="M44" s="9">
        <f t="shared" si="1"/>
        <v>1.9328703703703765E-3</v>
      </c>
      <c r="N44" s="9">
        <v>0.42564814814814816</v>
      </c>
      <c r="O44" s="7" t="s">
        <v>17</v>
      </c>
      <c r="P44" s="14">
        <f t="shared" si="11"/>
        <v>8.3043981481481455E-2</v>
      </c>
      <c r="Q44" s="16" t="str">
        <f t="shared" si="12"/>
        <v/>
      </c>
      <c r="R44" s="10">
        <f>IF(T43&gt;N44,T43,N44)</f>
        <v>0.50869212962962962</v>
      </c>
      <c r="S44" s="10">
        <f t="shared" si="13"/>
        <v>4.2013888888888795E-3</v>
      </c>
      <c r="T44" s="10">
        <v>0.5128935185185185</v>
      </c>
      <c r="U44" s="17" t="s">
        <v>7</v>
      </c>
      <c r="V44" s="14"/>
      <c r="W44" s="9">
        <f>X44-Z43</f>
        <v>2.6157407407407796E-3</v>
      </c>
      <c r="X44" s="9">
        <f>T44</f>
        <v>0.5128935185185185</v>
      </c>
      <c r="Y44" s="9">
        <v>6.6898148148147873E-3</v>
      </c>
      <c r="Z44" s="9">
        <f t="shared" si="16"/>
        <v>0.51958333333333329</v>
      </c>
      <c r="AA44" s="22">
        <f t="shared" si="10"/>
        <v>8.3043981481481455E-2</v>
      </c>
      <c r="AB44" s="33">
        <f t="shared" si="2"/>
        <v>1.4201388888888888E-2</v>
      </c>
      <c r="AC44" s="33">
        <f t="shared" si="3"/>
        <v>9.7245370370370343E-2</v>
      </c>
    </row>
    <row r="45" spans="2:29" ht="15.6" x14ac:dyDescent="0.3">
      <c r="B45" s="8">
        <v>37</v>
      </c>
      <c r="C45" s="9">
        <v>0.42791666666666667</v>
      </c>
      <c r="D45" s="9">
        <f t="shared" si="18"/>
        <v>8.4490740740739145E-4</v>
      </c>
      <c r="E45" s="14" t="str">
        <f t="shared" si="19"/>
        <v/>
      </c>
      <c r="F45" s="10">
        <f t="shared" si="20"/>
        <v>4.2013888888888795E-3</v>
      </c>
      <c r="G45" s="10">
        <f t="shared" si="21"/>
        <v>0.42791666666666667</v>
      </c>
      <c r="H45" s="10">
        <f t="shared" si="9"/>
        <v>1.2962962962962954E-3</v>
      </c>
      <c r="I45" s="10">
        <v>0.42921296296296296</v>
      </c>
      <c r="J45" s="14" t="str">
        <f t="shared" si="4"/>
        <v/>
      </c>
      <c r="K45" s="9">
        <f t="shared" si="5"/>
        <v>3.5648148148147984E-3</v>
      </c>
      <c r="L45" s="9">
        <f t="shared" si="6"/>
        <v>0.42921296296296296</v>
      </c>
      <c r="M45" s="9">
        <f t="shared" si="1"/>
        <v>1.5046296296296058E-3</v>
      </c>
      <c r="N45" s="9">
        <v>0.43071759259259257</v>
      </c>
      <c r="O45" s="7" t="s">
        <v>17</v>
      </c>
      <c r="P45" s="14">
        <f t="shared" si="11"/>
        <v>8.217592592592593E-2</v>
      </c>
      <c r="Q45" s="16" t="str">
        <f t="shared" si="12"/>
        <v/>
      </c>
      <c r="R45" s="10">
        <f t="shared" si="14"/>
        <v>0.5128935185185185</v>
      </c>
      <c r="S45" s="10">
        <f t="shared" si="13"/>
        <v>4.0393518518518912E-3</v>
      </c>
      <c r="T45" s="10">
        <v>0.51693287037037039</v>
      </c>
      <c r="U45" s="17" t="s">
        <v>7</v>
      </c>
      <c r="V45" s="14">
        <f>IF(Z44&gt;T45,Z44-T45,"")</f>
        <v>2.6504629629628962E-3</v>
      </c>
      <c r="W45" s="9" t="s">
        <v>20</v>
      </c>
      <c r="X45" s="9">
        <f>Z44</f>
        <v>0.51958333333333329</v>
      </c>
      <c r="Y45" s="9">
        <v>7.511574074074101E-3</v>
      </c>
      <c r="Z45" s="9">
        <f t="shared" si="16"/>
        <v>0.52709490740740739</v>
      </c>
      <c r="AA45" s="22">
        <f t="shared" si="10"/>
        <v>8.4826388888888826E-2</v>
      </c>
      <c r="AB45" s="33">
        <f t="shared" si="2"/>
        <v>1.4351851851851893E-2</v>
      </c>
      <c r="AC45" s="33">
        <f t="shared" si="3"/>
        <v>9.917824074074072E-2</v>
      </c>
    </row>
    <row r="46" spans="2:29" ht="15.6" x14ac:dyDescent="0.3">
      <c r="B46" s="8">
        <v>38</v>
      </c>
      <c r="C46" s="9">
        <v>0.42876157407407406</v>
      </c>
      <c r="D46" s="9">
        <f>C47-C46</f>
        <v>8.0208333333333659E-3</v>
      </c>
      <c r="E46" s="14">
        <f t="shared" si="19"/>
        <v>4.5138888888890394E-4</v>
      </c>
      <c r="F46" s="10" t="str">
        <f t="shared" si="20"/>
        <v/>
      </c>
      <c r="G46" s="10">
        <f t="shared" si="21"/>
        <v>0.42921296296296296</v>
      </c>
      <c r="H46" s="10">
        <f t="shared" si="9"/>
        <v>6.5972222222221433E-4</v>
      </c>
      <c r="I46" s="10">
        <v>0.42987268518518518</v>
      </c>
      <c r="J46" s="14">
        <f t="shared" si="4"/>
        <v>8.4490740740739145E-4</v>
      </c>
      <c r="K46" s="9" t="str">
        <f t="shared" si="5"/>
        <v/>
      </c>
      <c r="L46" s="9">
        <f t="shared" si="6"/>
        <v>0.43071759259259257</v>
      </c>
      <c r="M46" s="9">
        <f t="shared" si="1"/>
        <v>2.3148148148148251E-3</v>
      </c>
      <c r="N46" s="9">
        <v>0.43303240740740739</v>
      </c>
      <c r="O46" s="7" t="s">
        <v>17</v>
      </c>
      <c r="P46" s="14">
        <f t="shared" si="11"/>
        <v>8.3900462962962996E-2</v>
      </c>
      <c r="Q46" s="16" t="str">
        <f t="shared" si="12"/>
        <v/>
      </c>
      <c r="R46" s="10">
        <f t="shared" si="14"/>
        <v>0.51693287037037039</v>
      </c>
      <c r="S46" s="10">
        <f t="shared" si="13"/>
        <v>5.4050925925925863E-3</v>
      </c>
      <c r="T46" s="10">
        <v>0.52233796296296298</v>
      </c>
      <c r="U46" s="17" t="s">
        <v>7</v>
      </c>
      <c r="V46" s="14">
        <f>IF(Z45&gt;T46,Z45-T46,"")</f>
        <v>4.7569444444444109E-3</v>
      </c>
      <c r="W46" s="9" t="s">
        <v>20</v>
      </c>
      <c r="X46" s="9">
        <f>Z45</f>
        <v>0.52709490740740739</v>
      </c>
      <c r="Y46" s="9">
        <v>4.1319444444444242E-3</v>
      </c>
      <c r="Z46" s="9">
        <f t="shared" si="16"/>
        <v>0.53122685185185181</v>
      </c>
      <c r="AA46" s="22">
        <f t="shared" si="10"/>
        <v>8.9953703703703702E-2</v>
      </c>
      <c r="AB46" s="33">
        <f t="shared" si="2"/>
        <v>1.251157407407405E-2</v>
      </c>
      <c r="AC46" s="33">
        <f t="shared" si="3"/>
        <v>0.10246527777777775</v>
      </c>
    </row>
    <row r="47" spans="2:29" ht="15.6" x14ac:dyDescent="0.3">
      <c r="B47" s="8">
        <v>39</v>
      </c>
      <c r="C47" s="9">
        <v>0.43678240740740742</v>
      </c>
      <c r="D47" s="9">
        <f>C48-C47</f>
        <v>2.011574074074074E-2</v>
      </c>
      <c r="E47" s="14" t="str">
        <f>IF(G47&gt;C47,G47-C47,"")</f>
        <v/>
      </c>
      <c r="F47" s="10">
        <f>IF(G47&gt;I46,G47-I46,"")</f>
        <v>6.9097222222222476E-3</v>
      </c>
      <c r="G47" s="10">
        <f>IF(C47&gt;I46,C47,I46)</f>
        <v>0.43678240740740742</v>
      </c>
      <c r="H47" s="10">
        <f>I47-G47</f>
        <v>7.0601851851848085E-4</v>
      </c>
      <c r="I47" s="10">
        <v>0.43748842592592591</v>
      </c>
      <c r="J47" s="14" t="str">
        <f t="shared" si="4"/>
        <v/>
      </c>
      <c r="K47" s="9">
        <f t="shared" si="5"/>
        <v>4.4560185185185119E-3</v>
      </c>
      <c r="L47" s="9">
        <f t="shared" si="6"/>
        <v>0.43748842592592591</v>
      </c>
      <c r="M47" s="9">
        <f t="shared" si="1"/>
        <v>1.9444444444444708E-3</v>
      </c>
      <c r="N47" s="9">
        <v>0.43943287037037038</v>
      </c>
      <c r="O47" s="7" t="s">
        <v>17</v>
      </c>
      <c r="P47" s="14">
        <f t="shared" si="11"/>
        <v>8.29050925925926E-2</v>
      </c>
      <c r="Q47" s="16" t="str">
        <f t="shared" si="12"/>
        <v/>
      </c>
      <c r="R47" s="10">
        <f t="shared" si="14"/>
        <v>0.52233796296296298</v>
      </c>
      <c r="S47" s="10">
        <f t="shared" si="13"/>
        <v>5.6712962962962576E-3</v>
      </c>
      <c r="T47" s="10">
        <v>0.52800925925925923</v>
      </c>
      <c r="U47" s="17" t="s">
        <v>7</v>
      </c>
      <c r="V47" s="14">
        <f>IF(Z46&gt;T47,Z46-T47,"")</f>
        <v>3.2175925925925775E-3</v>
      </c>
      <c r="W47" s="9" t="s">
        <v>20</v>
      </c>
      <c r="X47" s="9">
        <f>Z46</f>
        <v>0.53122685185185181</v>
      </c>
      <c r="Y47" s="9">
        <v>3.0787037037036669E-3</v>
      </c>
      <c r="Z47" s="9">
        <f t="shared" si="16"/>
        <v>0.53430555555555548</v>
      </c>
      <c r="AA47" s="22">
        <f>SUM(E47,J47,P47,V47)</f>
        <v>8.6122685185185177E-2</v>
      </c>
      <c r="AB47" s="33">
        <f t="shared" si="2"/>
        <v>1.1400462962962876E-2</v>
      </c>
      <c r="AC47" s="33">
        <f t="shared" si="3"/>
        <v>9.7523148148148053E-2</v>
      </c>
    </row>
    <row r="48" spans="2:29" ht="15.6" x14ac:dyDescent="0.3">
      <c r="B48" s="8">
        <v>40</v>
      </c>
      <c r="C48" s="9">
        <v>0.45689814814814816</v>
      </c>
      <c r="D48" s="9"/>
      <c r="E48" s="14" t="str">
        <f>IF(G48&gt;C48,G48-C48,"")</f>
        <v/>
      </c>
      <c r="F48" s="10">
        <f>IF(G48&gt;I47,G48-I47,"")</f>
        <v>1.9409722222222259E-2</v>
      </c>
      <c r="G48" s="10">
        <f>IF(C48&gt;I47,C48,I47)</f>
        <v>0.45689814814814816</v>
      </c>
      <c r="H48" s="10">
        <f t="shared" si="9"/>
        <v>7.407407407407085E-4</v>
      </c>
      <c r="I48" s="10">
        <v>0.45763888888888887</v>
      </c>
      <c r="J48" s="14" t="str">
        <f t="shared" si="4"/>
        <v/>
      </c>
      <c r="K48" s="9">
        <f t="shared" si="5"/>
        <v>1.8206018518518496E-2</v>
      </c>
      <c r="L48" s="9">
        <f t="shared" si="6"/>
        <v>0.45763888888888887</v>
      </c>
      <c r="M48" s="9">
        <f t="shared" si="1"/>
        <v>1.4467592592593004E-3</v>
      </c>
      <c r="N48" s="9">
        <v>0.45908564814814817</v>
      </c>
      <c r="O48" s="7" t="s">
        <v>17</v>
      </c>
      <c r="P48" s="14">
        <f t="shared" si="11"/>
        <v>6.8923611111111061E-2</v>
      </c>
      <c r="Q48" s="16" t="str">
        <f t="shared" si="12"/>
        <v/>
      </c>
      <c r="R48" s="10">
        <f t="shared" si="14"/>
        <v>0.52800925925925923</v>
      </c>
      <c r="S48" s="10">
        <f t="shared" si="13"/>
        <v>8.0555555555555935E-3</v>
      </c>
      <c r="T48" s="10">
        <v>0.53606481481481483</v>
      </c>
      <c r="U48" s="17" t="s">
        <v>7</v>
      </c>
      <c r="V48" s="14" t="str">
        <f>IF(Z47&gt;T48,Z47-T48,"")</f>
        <v/>
      </c>
      <c r="W48" s="9" t="s">
        <v>20</v>
      </c>
      <c r="X48" s="9">
        <f>T48</f>
        <v>0.53606481481481483</v>
      </c>
      <c r="Y48" s="9">
        <v>3.3333333333334103E-3</v>
      </c>
      <c r="Z48" s="9">
        <f t="shared" si="16"/>
        <v>0.53939814814814824</v>
      </c>
      <c r="AA48" s="22">
        <f t="shared" si="10"/>
        <v>6.8923611111111061E-2</v>
      </c>
      <c r="AB48" s="33">
        <f t="shared" si="2"/>
        <v>1.3576388888889013E-2</v>
      </c>
      <c r="AC48" s="33">
        <f t="shared" si="3"/>
        <v>8.2500000000000073E-2</v>
      </c>
    </row>
    <row r="49" spans="2:28" x14ac:dyDescent="0.3">
      <c r="AA49" s="2"/>
      <c r="AB49" s="2"/>
    </row>
    <row r="51" spans="2:28" x14ac:dyDescent="0.3">
      <c r="B51" s="18" t="s">
        <v>5</v>
      </c>
      <c r="C51" s="19"/>
      <c r="D51" s="18" t="s">
        <v>5</v>
      </c>
    </row>
    <row r="52" spans="2:28" x14ac:dyDescent="0.3">
      <c r="B52" s="20" t="s">
        <v>17</v>
      </c>
      <c r="C52" s="19"/>
      <c r="D52" s="20" t="s">
        <v>7</v>
      </c>
    </row>
    <row r="53" spans="2:28" x14ac:dyDescent="0.3">
      <c r="B53" s="20" t="s">
        <v>18</v>
      </c>
      <c r="C53" s="19"/>
      <c r="D53" s="20" t="s">
        <v>19</v>
      </c>
    </row>
    <row r="54" spans="2:28" x14ac:dyDescent="0.3">
      <c r="C54" s="2"/>
      <c r="J54" s="2"/>
    </row>
    <row r="55" spans="2:28" x14ac:dyDescent="0.3">
      <c r="J55" s="2"/>
    </row>
    <row r="56" spans="2:28" x14ac:dyDescent="0.3">
      <c r="C56" s="2"/>
    </row>
    <row r="57" spans="2:28" x14ac:dyDescent="0.3">
      <c r="C57" s="2"/>
    </row>
  </sheetData>
  <mergeCells count="18">
    <mergeCell ref="V7:V8"/>
    <mergeCell ref="W7:Z7"/>
    <mergeCell ref="AA7:AA8"/>
    <mergeCell ref="AB7:AB8"/>
    <mergeCell ref="AC7:AC8"/>
    <mergeCell ref="I2:Y2"/>
    <mergeCell ref="B3:G3"/>
    <mergeCell ref="B4:G4"/>
    <mergeCell ref="F6:AC6"/>
    <mergeCell ref="B7:B8"/>
    <mergeCell ref="C7:C8"/>
    <mergeCell ref="D7:D8"/>
    <mergeCell ref="E7:E8"/>
    <mergeCell ref="F7:I7"/>
    <mergeCell ref="J7:J8"/>
    <mergeCell ref="K7:O7"/>
    <mergeCell ref="P7:P8"/>
    <mergeCell ref="Q7:U7"/>
  </mergeCells>
  <dataValidations count="2">
    <dataValidation type="list" allowBlank="1" showInputMessage="1" showErrorMessage="1" sqref="U9:U48" xr:uid="{3D02A7EF-237E-4EC4-A1D0-896BFB8C24F3}">
      <formula1>$D$52:$D$53</formula1>
    </dataValidation>
    <dataValidation type="list" allowBlank="1" showInputMessage="1" showErrorMessage="1" sqref="O9:O48" xr:uid="{EBAFEF2E-FAB0-488B-A745-A794FB5260C2}">
      <formula1>$B$52:$B$53</formula1>
    </dataValidation>
  </dataValidations>
  <pageMargins left="0.25" right="0.25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A8C5-407F-426E-ABE6-2B0EB0BB1766}">
  <dimension ref="B2:AF57"/>
  <sheetViews>
    <sheetView zoomScale="65" zoomScaleNormal="142" workbookViewId="0">
      <selection activeCell="H52" sqref="H52"/>
    </sheetView>
  </sheetViews>
  <sheetFormatPr defaultRowHeight="14.4" x14ac:dyDescent="0.3"/>
  <cols>
    <col min="2" max="2" width="8.88671875" customWidth="1"/>
    <col min="3" max="3" width="11.5546875" customWidth="1"/>
    <col min="4" max="4" width="12" customWidth="1"/>
    <col min="5" max="5" width="10.5546875" customWidth="1"/>
    <col min="6" max="6" width="10.88671875" customWidth="1"/>
    <col min="7" max="7" width="11.33203125" customWidth="1"/>
    <col min="8" max="9" width="11" customWidth="1"/>
    <col min="10" max="10" width="9.88671875" customWidth="1"/>
    <col min="11" max="11" width="12" customWidth="1"/>
    <col min="12" max="12" width="10.77734375" customWidth="1"/>
    <col min="13" max="13" width="11" customWidth="1"/>
    <col min="14" max="14" width="11.44140625" customWidth="1"/>
    <col min="15" max="15" width="10.88671875" customWidth="1"/>
    <col min="16" max="16" width="20.21875" customWidth="1"/>
    <col min="17" max="17" width="10.6640625" customWidth="1"/>
    <col min="18" max="18" width="12" customWidth="1"/>
    <col min="20" max="20" width="10.77734375" customWidth="1"/>
    <col min="21" max="21" width="10" customWidth="1"/>
    <col min="22" max="22" width="10.21875" customWidth="1"/>
    <col min="23" max="23" width="12.5546875" customWidth="1"/>
    <col min="24" max="24" width="10.109375" customWidth="1"/>
    <col min="25" max="25" width="12.109375" customWidth="1"/>
    <col min="26" max="26" width="10.88671875" customWidth="1"/>
    <col min="27" max="27" width="11" customWidth="1"/>
    <col min="28" max="28" width="11.109375" customWidth="1"/>
    <col min="29" max="29" width="10.88671875" customWidth="1"/>
    <col min="30" max="30" width="10.33203125" customWidth="1"/>
    <col min="31" max="31" width="10.44140625" customWidth="1"/>
    <col min="32" max="32" width="10.109375" customWidth="1"/>
  </cols>
  <sheetData>
    <row r="2" spans="2:32" x14ac:dyDescent="0.3">
      <c r="B2" s="80" t="s">
        <v>140</v>
      </c>
    </row>
    <row r="4" spans="2:32" ht="15.6" x14ac:dyDescent="0.3">
      <c r="B4" s="5"/>
      <c r="C4" s="5"/>
      <c r="D4" s="5"/>
      <c r="E4" s="5"/>
      <c r="F4" s="165" t="s">
        <v>6</v>
      </c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7"/>
    </row>
    <row r="5" spans="2:32" ht="15.6" customHeight="1" x14ac:dyDescent="0.3">
      <c r="B5" s="168" t="s">
        <v>10</v>
      </c>
      <c r="C5" s="170" t="s">
        <v>90</v>
      </c>
      <c r="D5" s="170" t="s">
        <v>102</v>
      </c>
      <c r="E5" s="169" t="s">
        <v>0</v>
      </c>
      <c r="F5" s="172" t="s">
        <v>8</v>
      </c>
      <c r="G5" s="172"/>
      <c r="H5" s="172"/>
      <c r="I5" s="172"/>
      <c r="J5" s="173" t="s">
        <v>0</v>
      </c>
      <c r="K5" s="170" t="s">
        <v>102</v>
      </c>
      <c r="L5" s="174" t="s">
        <v>44</v>
      </c>
      <c r="M5" s="175"/>
      <c r="N5" s="175"/>
      <c r="O5" s="175"/>
      <c r="P5" s="176"/>
      <c r="Q5" s="173" t="s">
        <v>0</v>
      </c>
      <c r="R5" s="170" t="s">
        <v>102</v>
      </c>
      <c r="S5" s="172" t="s">
        <v>45</v>
      </c>
      <c r="T5" s="172"/>
      <c r="U5" s="172"/>
      <c r="V5" s="172"/>
      <c r="W5" s="172"/>
      <c r="X5" s="173" t="s">
        <v>0</v>
      </c>
      <c r="Y5" s="170" t="s">
        <v>102</v>
      </c>
      <c r="Z5" s="177" t="s">
        <v>9</v>
      </c>
      <c r="AA5" s="177"/>
      <c r="AB5" s="177"/>
      <c r="AC5" s="177"/>
      <c r="AD5" s="162" t="s">
        <v>91</v>
      </c>
      <c r="AE5" s="162" t="s">
        <v>40</v>
      </c>
      <c r="AF5" s="164" t="s">
        <v>41</v>
      </c>
    </row>
    <row r="6" spans="2:32" ht="15.6" x14ac:dyDescent="0.3">
      <c r="B6" s="169"/>
      <c r="C6" s="171"/>
      <c r="D6" s="171"/>
      <c r="E6" s="169"/>
      <c r="F6" s="6" t="s">
        <v>1</v>
      </c>
      <c r="G6" s="6" t="s">
        <v>3</v>
      </c>
      <c r="H6" s="6" t="s">
        <v>2</v>
      </c>
      <c r="I6" s="6" t="s">
        <v>4</v>
      </c>
      <c r="J6" s="171"/>
      <c r="K6" s="171"/>
      <c r="L6" s="15" t="s">
        <v>1</v>
      </c>
      <c r="M6" s="15" t="s">
        <v>3</v>
      </c>
      <c r="N6" s="15" t="s">
        <v>2</v>
      </c>
      <c r="O6" s="15" t="s">
        <v>4</v>
      </c>
      <c r="P6" s="21" t="s">
        <v>5</v>
      </c>
      <c r="Q6" s="171"/>
      <c r="R6" s="171"/>
      <c r="S6" s="6" t="s">
        <v>1</v>
      </c>
      <c r="T6" s="6" t="s">
        <v>3</v>
      </c>
      <c r="U6" s="6" t="s">
        <v>2</v>
      </c>
      <c r="V6" s="6" t="s">
        <v>4</v>
      </c>
      <c r="W6" s="6" t="s">
        <v>5</v>
      </c>
      <c r="X6" s="171"/>
      <c r="Y6" s="171"/>
      <c r="Z6" s="7" t="s">
        <v>1</v>
      </c>
      <c r="AA6" s="7" t="s">
        <v>3</v>
      </c>
      <c r="AB6" s="7" t="s">
        <v>2</v>
      </c>
      <c r="AC6" s="7" t="s">
        <v>4</v>
      </c>
      <c r="AD6" s="163"/>
      <c r="AE6" s="163"/>
      <c r="AF6" s="162"/>
    </row>
    <row r="7" spans="2:32" ht="15.6" x14ac:dyDescent="0.3">
      <c r="B7" s="8">
        <v>1</v>
      </c>
      <c r="C7" s="9">
        <v>0.33333333333333331</v>
      </c>
      <c r="D7" s="9">
        <f>C8-C7</f>
        <v>5.5555555555555913E-3</v>
      </c>
      <c r="E7" s="14"/>
      <c r="F7" s="10"/>
      <c r="G7" s="10">
        <v>0.33333333333333331</v>
      </c>
      <c r="H7" s="10">
        <f>I7-G7</f>
        <v>2.0833333333333259E-3</v>
      </c>
      <c r="I7" s="10">
        <v>0.33541666666666664</v>
      </c>
      <c r="J7" s="14"/>
      <c r="K7" s="14">
        <f>I8-I7</f>
        <v>5.5555555555555913E-3</v>
      </c>
      <c r="L7" s="9"/>
      <c r="M7" s="9">
        <v>0.33541666666666664</v>
      </c>
      <c r="N7" s="9">
        <f t="shared" ref="N7:N46" si="0">O7-M7</f>
        <v>1.8518518518518823E-3</v>
      </c>
      <c r="O7" s="9">
        <v>0.33726851851851852</v>
      </c>
      <c r="P7" s="21" t="s">
        <v>18</v>
      </c>
      <c r="Q7" s="14"/>
      <c r="R7" s="48"/>
      <c r="S7" s="16"/>
      <c r="T7" s="10"/>
      <c r="U7" s="10"/>
      <c r="V7" s="10"/>
      <c r="W7" s="17"/>
      <c r="X7" s="14"/>
      <c r="Y7" s="14"/>
      <c r="Z7" s="9"/>
      <c r="AA7" s="9"/>
      <c r="AB7" s="9"/>
      <c r="AC7" s="9"/>
      <c r="AD7" s="22"/>
      <c r="AE7" s="33">
        <f t="shared" ref="AE7:AE46" si="1">H7+N7+U7+AB7</f>
        <v>3.9351851851852082E-3</v>
      </c>
      <c r="AF7" s="33">
        <f t="shared" ref="AF7:AF46" si="2">SUM(E7,H7,J7,N7,Q7,U7,X7,AB7)</f>
        <v>3.9351851851852082E-3</v>
      </c>
    </row>
    <row r="8" spans="2:32" ht="15.6" x14ac:dyDescent="0.3">
      <c r="B8" s="8">
        <v>2</v>
      </c>
      <c r="C8" s="9">
        <v>0.33888888888888891</v>
      </c>
      <c r="D8" s="9">
        <f t="shared" ref="D8:D33" si="3">C9-C8</f>
        <v>1.5509259259259278E-3</v>
      </c>
      <c r="E8" s="14" t="str">
        <f>IF(G8&gt;C8,G8-C8,"")</f>
        <v/>
      </c>
      <c r="F8" s="10">
        <f>IF(G8&gt;I7,G8-I7,"")</f>
        <v>3.4722222222222654E-3</v>
      </c>
      <c r="G8" s="10">
        <v>0.33888888888888891</v>
      </c>
      <c r="H8" s="10">
        <f>I8-G8</f>
        <v>2.0833333333333259E-3</v>
      </c>
      <c r="I8" s="10">
        <v>0.34097222222222223</v>
      </c>
      <c r="J8" s="14" t="str">
        <f t="shared" ref="J8:J46" si="4">IF(I8&gt;O7,"",O7-I8)</f>
        <v/>
      </c>
      <c r="K8" s="14">
        <f>I9-I8</f>
        <v>1.388888888888884E-3</v>
      </c>
      <c r="L8" s="9">
        <f t="shared" ref="L8:L46" si="5">IF(M8&gt;O7,M8-O7,"")</f>
        <v>3.703703703703709E-3</v>
      </c>
      <c r="M8" s="9">
        <f t="shared" ref="M8:M46" si="6">IF(I8&gt;O7,I8,O7)</f>
        <v>0.34097222222222223</v>
      </c>
      <c r="N8" s="9">
        <f t="shared" si="0"/>
        <v>1.4120370370370172E-3</v>
      </c>
      <c r="O8" s="9">
        <v>0.34238425925925925</v>
      </c>
      <c r="P8" s="21" t="s">
        <v>18</v>
      </c>
      <c r="Q8" s="14"/>
      <c r="R8" s="48"/>
      <c r="S8" s="16"/>
      <c r="T8" s="10"/>
      <c r="U8" s="10"/>
      <c r="V8" s="10"/>
      <c r="W8" s="17"/>
      <c r="X8" s="14"/>
      <c r="Y8" s="14"/>
      <c r="Z8" s="9"/>
      <c r="AA8" s="9"/>
      <c r="AB8" s="9"/>
      <c r="AC8" s="9"/>
      <c r="AD8" s="22"/>
      <c r="AE8" s="33">
        <f t="shared" si="1"/>
        <v>3.4953703703703431E-3</v>
      </c>
      <c r="AF8" s="33">
        <f t="shared" si="2"/>
        <v>3.4953703703703431E-3</v>
      </c>
    </row>
    <row r="9" spans="2:32" ht="15.6" x14ac:dyDescent="0.3">
      <c r="B9" s="8">
        <v>3</v>
      </c>
      <c r="C9" s="9">
        <v>0.34043981481481483</v>
      </c>
      <c r="D9" s="9">
        <f t="shared" si="3"/>
        <v>7.7546296296293615E-4</v>
      </c>
      <c r="E9" s="14">
        <f>IF(G9&gt;C9,G9-C9,"")</f>
        <v>5.3240740740739811E-4</v>
      </c>
      <c r="F9" s="10" t="str">
        <f>IF(G9&gt;I8,G9-I8,"")</f>
        <v/>
      </c>
      <c r="G9" s="10">
        <v>0.34097222222222223</v>
      </c>
      <c r="H9" s="10">
        <f>I9-G9</f>
        <v>1.388888888888884E-3</v>
      </c>
      <c r="I9" s="10">
        <v>0.34236111111111112</v>
      </c>
      <c r="J9" s="14">
        <f t="shared" si="4"/>
        <v>2.3148148148133263E-5</v>
      </c>
      <c r="K9" s="14">
        <f t="shared" ref="K9:K44" si="7">I10-I9</f>
        <v>1.388888888888884E-3</v>
      </c>
      <c r="L9" s="9" t="str">
        <f t="shared" si="5"/>
        <v/>
      </c>
      <c r="M9" s="9">
        <f t="shared" si="6"/>
        <v>0.34238425925925925</v>
      </c>
      <c r="N9" s="9">
        <f t="shared" si="0"/>
        <v>3.8888888888888862E-3</v>
      </c>
      <c r="O9" s="9">
        <v>0.34627314814814814</v>
      </c>
      <c r="P9" s="21" t="s">
        <v>18</v>
      </c>
      <c r="Q9" s="14"/>
      <c r="R9" s="48"/>
      <c r="S9" s="16"/>
      <c r="T9" s="10"/>
      <c r="U9" s="10"/>
      <c r="V9" s="10"/>
      <c r="W9" s="17"/>
      <c r="X9" s="14"/>
      <c r="Y9" s="14"/>
      <c r="Z9" s="9"/>
      <c r="AA9" s="9"/>
      <c r="AB9" s="9"/>
      <c r="AC9" s="9"/>
      <c r="AD9" s="22">
        <f>SUM(E9,J9,Q9,X9)</f>
        <v>5.5555555555553138E-4</v>
      </c>
      <c r="AE9" s="33">
        <f t="shared" si="1"/>
        <v>5.2777777777777701E-3</v>
      </c>
      <c r="AF9" s="33">
        <f t="shared" si="2"/>
        <v>5.8333333333333015E-3</v>
      </c>
    </row>
    <row r="10" spans="2:32" ht="15.6" x14ac:dyDescent="0.3">
      <c r="B10" s="8">
        <v>4</v>
      </c>
      <c r="C10" s="9">
        <v>0.34121527777777777</v>
      </c>
      <c r="D10" s="9">
        <f t="shared" si="3"/>
        <v>9.9537037037039644E-4</v>
      </c>
      <c r="E10" s="14">
        <f t="shared" ref="E10:E31" si="8">IF(G10&gt;C10,G10-C10,"")</f>
        <v>1.1458333333333459E-3</v>
      </c>
      <c r="F10" s="10" t="str">
        <f t="shared" ref="F10:F31" si="9">IF(G10&gt;I9,G10-I9,"")</f>
        <v/>
      </c>
      <c r="G10" s="10">
        <v>0.34236111111111112</v>
      </c>
      <c r="H10" s="10">
        <f t="shared" ref="H10:H46" si="10">I10-G10</f>
        <v>1.388888888888884E-3</v>
      </c>
      <c r="I10" s="10">
        <v>0.34375</v>
      </c>
      <c r="J10" s="14">
        <f t="shared" si="4"/>
        <v>2.5231481481481355E-3</v>
      </c>
      <c r="K10" s="14">
        <f t="shared" si="7"/>
        <v>9.490740740740744E-4</v>
      </c>
      <c r="L10" s="9" t="str">
        <f t="shared" si="5"/>
        <v/>
      </c>
      <c r="M10" s="9">
        <f t="shared" si="6"/>
        <v>0.34627314814814814</v>
      </c>
      <c r="N10" s="9">
        <f t="shared" si="0"/>
        <v>1.0648148148148517E-3</v>
      </c>
      <c r="O10" s="9">
        <v>0.34733796296296299</v>
      </c>
      <c r="P10" s="21" t="s">
        <v>17</v>
      </c>
      <c r="Q10" s="14" t="str">
        <f t="shared" ref="Q10:Q29" si="11">IF(T10&gt;O10,T10-O10,"")</f>
        <v/>
      </c>
      <c r="R10" s="48">
        <f>O11-O10</f>
        <v>1.1226851851851571E-3</v>
      </c>
      <c r="S10" s="16" t="str">
        <f>IF(V10&lt;O10,O10-V10,"")</f>
        <v/>
      </c>
      <c r="T10" s="10">
        <f>O10</f>
        <v>0.34733796296296299</v>
      </c>
      <c r="U10" s="10">
        <f>V10-T10</f>
        <v>3.3796296296296213E-3</v>
      </c>
      <c r="V10" s="10">
        <v>0.35071759259259261</v>
      </c>
      <c r="W10" s="17" t="s">
        <v>19</v>
      </c>
      <c r="X10" s="14"/>
      <c r="Y10" s="14"/>
      <c r="Z10" s="9"/>
      <c r="AA10" s="9"/>
      <c r="AB10" s="9"/>
      <c r="AC10" s="9"/>
      <c r="AD10" s="22">
        <f t="shared" ref="AD10:AD46" si="12">SUM(E10,J10,Q10,X10)</f>
        <v>3.6689814814814814E-3</v>
      </c>
      <c r="AE10" s="33">
        <f t="shared" si="1"/>
        <v>5.833333333333357E-3</v>
      </c>
      <c r="AF10" s="33">
        <f t="shared" si="2"/>
        <v>9.5023148148148384E-3</v>
      </c>
    </row>
    <row r="11" spans="2:32" ht="15.6" x14ac:dyDescent="0.3">
      <c r="B11" s="8">
        <v>5</v>
      </c>
      <c r="C11" s="9">
        <v>0.34221064814814817</v>
      </c>
      <c r="D11" s="9">
        <f t="shared" si="3"/>
        <v>9.8379629629630205E-4</v>
      </c>
      <c r="E11" s="14">
        <f t="shared" si="8"/>
        <v>1.5393518518518334E-3</v>
      </c>
      <c r="F11" s="10" t="str">
        <f t="shared" si="9"/>
        <v/>
      </c>
      <c r="G11" s="10">
        <v>0.34375</v>
      </c>
      <c r="H11" s="10">
        <f t="shared" si="10"/>
        <v>9.490740740740744E-4</v>
      </c>
      <c r="I11" s="10">
        <v>0.34469907407407407</v>
      </c>
      <c r="J11" s="14">
        <f t="shared" si="4"/>
        <v>2.6388888888889128E-3</v>
      </c>
      <c r="K11" s="14">
        <f t="shared" si="7"/>
        <v>1.1458333333333459E-3</v>
      </c>
      <c r="L11" s="9" t="str">
        <f t="shared" si="5"/>
        <v/>
      </c>
      <c r="M11" s="9">
        <f t="shared" si="6"/>
        <v>0.34733796296296299</v>
      </c>
      <c r="N11" s="9">
        <f t="shared" si="0"/>
        <v>1.1226851851851571E-3</v>
      </c>
      <c r="O11" s="9">
        <v>0.34846064814814814</v>
      </c>
      <c r="P11" s="21" t="s">
        <v>17</v>
      </c>
      <c r="Q11" s="14">
        <f t="shared" si="11"/>
        <v>2.2569444444444642E-3</v>
      </c>
      <c r="R11" s="48">
        <f t="shared" ref="R11:R12" si="13">O12-O11</f>
        <v>7.6388888888889728E-4</v>
      </c>
      <c r="S11" s="16" t="str">
        <f>IF(V11&lt;O11,O11-V11,"")</f>
        <v/>
      </c>
      <c r="T11" s="10">
        <f>IF(V10&gt;O11,V10,O11)</f>
        <v>0.35071759259259261</v>
      </c>
      <c r="U11" s="10">
        <f>V11-T11</f>
        <v>6.620370370370332E-3</v>
      </c>
      <c r="V11" s="10">
        <v>0.35733796296296294</v>
      </c>
      <c r="W11" s="17" t="s">
        <v>19</v>
      </c>
      <c r="X11" s="14"/>
      <c r="Y11" s="14"/>
      <c r="Z11" s="9"/>
      <c r="AA11" s="9"/>
      <c r="AB11" s="9"/>
      <c r="AC11" s="9"/>
      <c r="AD11" s="22">
        <f t="shared" si="12"/>
        <v>6.4351851851852104E-3</v>
      </c>
      <c r="AE11" s="33">
        <f t="shared" si="1"/>
        <v>8.6921296296295636E-3</v>
      </c>
      <c r="AF11" s="33">
        <f t="shared" si="2"/>
        <v>1.5127314814814774E-2</v>
      </c>
    </row>
    <row r="12" spans="2:32" ht="15.6" x14ac:dyDescent="0.3">
      <c r="B12" s="8">
        <v>6</v>
      </c>
      <c r="C12" s="9">
        <v>0.34319444444444447</v>
      </c>
      <c r="D12" s="9">
        <f t="shared" si="3"/>
        <v>5.4398148148143699E-4</v>
      </c>
      <c r="E12" s="14">
        <f t="shared" si="8"/>
        <v>1.5046296296296058E-3</v>
      </c>
      <c r="F12" s="10" t="str">
        <f t="shared" si="9"/>
        <v/>
      </c>
      <c r="G12" s="10">
        <v>0.34469907407407407</v>
      </c>
      <c r="H12" s="10">
        <f t="shared" si="10"/>
        <v>1.1458333333333459E-3</v>
      </c>
      <c r="I12" s="10">
        <v>0.34584490740740742</v>
      </c>
      <c r="J12" s="14">
        <f t="shared" si="4"/>
        <v>2.615740740740724E-3</v>
      </c>
      <c r="K12" s="14">
        <f t="shared" si="7"/>
        <v>1.4004629629629228E-3</v>
      </c>
      <c r="L12" s="9" t="str">
        <f t="shared" si="5"/>
        <v/>
      </c>
      <c r="M12" s="9">
        <f t="shared" si="6"/>
        <v>0.34846064814814814</v>
      </c>
      <c r="N12" s="9">
        <f t="shared" si="0"/>
        <v>7.6388888888889728E-4</v>
      </c>
      <c r="O12" s="9">
        <v>0.34922453703703704</v>
      </c>
      <c r="P12" s="21" t="s">
        <v>17</v>
      </c>
      <c r="Q12" s="14">
        <f t="shared" si="11"/>
        <v>8.113425925925899E-3</v>
      </c>
      <c r="R12" s="48">
        <f t="shared" si="13"/>
        <v>5.7870370370372015E-4</v>
      </c>
      <c r="S12" s="16" t="str">
        <f>IF(V12&lt;O12,O12-V12,"")</f>
        <v/>
      </c>
      <c r="T12" s="10">
        <f>IF(V11&gt;O12,V11,O12)</f>
        <v>0.35733796296296294</v>
      </c>
      <c r="U12" s="10">
        <f>V12-T12</f>
        <v>1.2256944444444473E-2</v>
      </c>
      <c r="V12" s="10">
        <v>0.36959490740740741</v>
      </c>
      <c r="W12" s="17" t="s">
        <v>19</v>
      </c>
      <c r="X12" s="14"/>
      <c r="Y12" s="14"/>
      <c r="Z12" s="9"/>
      <c r="AA12" s="9"/>
      <c r="AB12" s="9"/>
      <c r="AC12" s="9"/>
      <c r="AD12" s="22">
        <f t="shared" si="12"/>
        <v>1.2233796296296229E-2</v>
      </c>
      <c r="AE12" s="33">
        <f t="shared" si="1"/>
        <v>1.4166666666666716E-2</v>
      </c>
      <c r="AF12" s="33">
        <f t="shared" si="2"/>
        <v>2.6400462962962945E-2</v>
      </c>
    </row>
    <row r="13" spans="2:32" ht="15.6" x14ac:dyDescent="0.3">
      <c r="B13" s="8">
        <v>7</v>
      </c>
      <c r="C13" s="9">
        <v>0.34373842592592591</v>
      </c>
      <c r="D13" s="9">
        <f t="shared" si="3"/>
        <v>8.3449074074074536E-3</v>
      </c>
      <c r="E13" s="14">
        <f t="shared" si="8"/>
        <v>2.1064814814815147E-3</v>
      </c>
      <c r="F13" s="10" t="str">
        <f t="shared" si="9"/>
        <v/>
      </c>
      <c r="G13" s="10">
        <v>0.34584490740740742</v>
      </c>
      <c r="H13" s="10">
        <f t="shared" si="10"/>
        <v>1.4004629629629228E-3</v>
      </c>
      <c r="I13" s="10">
        <v>0.34724537037037034</v>
      </c>
      <c r="J13" s="14">
        <f t="shared" si="4"/>
        <v>1.9791666666666985E-3</v>
      </c>
      <c r="K13" s="14">
        <f t="shared" si="7"/>
        <v>5.8217592592592626E-3</v>
      </c>
      <c r="L13" s="9" t="str">
        <f t="shared" si="5"/>
        <v/>
      </c>
      <c r="M13" s="9">
        <f t="shared" si="6"/>
        <v>0.34922453703703704</v>
      </c>
      <c r="N13" s="9">
        <f t="shared" si="0"/>
        <v>5.7870370370372015E-4</v>
      </c>
      <c r="O13" s="9">
        <v>0.34980324074074076</v>
      </c>
      <c r="P13" s="21" t="s">
        <v>17</v>
      </c>
      <c r="Q13" s="14">
        <f t="shared" si="11"/>
        <v>1.9791666666666652E-2</v>
      </c>
      <c r="R13" s="48">
        <f>O15-O13</f>
        <v>5.5555555555555358E-3</v>
      </c>
      <c r="S13" s="16" t="str">
        <f>IF(V13&lt;O13,O13-V13,"")</f>
        <v/>
      </c>
      <c r="T13" s="10">
        <f>IF(V12&gt;O13,V12,O13)</f>
        <v>0.36959490740740741</v>
      </c>
      <c r="U13" s="10">
        <f>V13-T13</f>
        <v>9.6412037037036935E-3</v>
      </c>
      <c r="V13" s="10">
        <v>0.37923611111111111</v>
      </c>
      <c r="W13" s="17" t="s">
        <v>19</v>
      </c>
      <c r="X13" s="14"/>
      <c r="Y13" s="14"/>
      <c r="Z13" s="9"/>
      <c r="AA13" s="9"/>
      <c r="AB13" s="9"/>
      <c r="AC13" s="9"/>
      <c r="AD13" s="22">
        <f t="shared" si="12"/>
        <v>2.3877314814814865E-2</v>
      </c>
      <c r="AE13" s="33">
        <f t="shared" si="1"/>
        <v>1.1620370370370336E-2</v>
      </c>
      <c r="AF13" s="33">
        <f t="shared" si="2"/>
        <v>3.5497685185185202E-2</v>
      </c>
    </row>
    <row r="14" spans="2:32" ht="15.6" x14ac:dyDescent="0.3">
      <c r="B14" s="8">
        <v>8</v>
      </c>
      <c r="C14" s="9">
        <v>0.35208333333333336</v>
      </c>
      <c r="D14" s="9">
        <f t="shared" si="3"/>
        <v>1.1921296296296124E-3</v>
      </c>
      <c r="E14" s="14" t="str">
        <f t="shared" si="8"/>
        <v/>
      </c>
      <c r="F14" s="10">
        <f t="shared" si="9"/>
        <v>4.8379629629630161E-3</v>
      </c>
      <c r="G14" s="10">
        <v>0.35208333333333336</v>
      </c>
      <c r="H14" s="10">
        <f t="shared" si="10"/>
        <v>9.8379629629624654E-4</v>
      </c>
      <c r="I14" s="10">
        <v>0.35306712962962961</v>
      </c>
      <c r="J14" s="14" t="str">
        <f t="shared" si="4"/>
        <v/>
      </c>
      <c r="K14" s="14">
        <f t="shared" si="7"/>
        <v>1.4004629629629783E-3</v>
      </c>
      <c r="L14" s="9">
        <f t="shared" si="5"/>
        <v>3.263888888888844E-3</v>
      </c>
      <c r="M14" s="9">
        <f t="shared" si="6"/>
        <v>0.35306712962962961</v>
      </c>
      <c r="N14" s="9">
        <f t="shared" si="0"/>
        <v>1.3541666666667118E-3</v>
      </c>
      <c r="O14" s="9">
        <v>0.35442129629629632</v>
      </c>
      <c r="P14" s="21" t="s">
        <v>18</v>
      </c>
      <c r="Q14" s="14" t="str">
        <f t="shared" si="11"/>
        <v/>
      </c>
      <c r="R14" s="48"/>
      <c r="S14" s="16"/>
      <c r="T14" s="10"/>
      <c r="U14" s="10"/>
      <c r="V14" s="10"/>
      <c r="W14" s="17"/>
      <c r="X14" s="14"/>
      <c r="Y14" s="14"/>
      <c r="Z14" s="9"/>
      <c r="AA14" s="9"/>
      <c r="AB14" s="9"/>
      <c r="AC14" s="9"/>
      <c r="AD14" s="22">
        <f t="shared" si="12"/>
        <v>0</v>
      </c>
      <c r="AE14" s="33">
        <f t="shared" si="1"/>
        <v>2.3379629629629584E-3</v>
      </c>
      <c r="AF14" s="33">
        <f t="shared" si="2"/>
        <v>2.3379629629629584E-3</v>
      </c>
    </row>
    <row r="15" spans="2:32" ht="15.6" x14ac:dyDescent="0.3">
      <c r="B15" s="8">
        <v>9</v>
      </c>
      <c r="C15" s="9">
        <v>0.35327546296296297</v>
      </c>
      <c r="D15" s="9">
        <f t="shared" si="3"/>
        <v>4.745370370370372E-4</v>
      </c>
      <c r="E15" s="14" t="str">
        <f t="shared" si="8"/>
        <v/>
      </c>
      <c r="F15" s="10">
        <f t="shared" si="9"/>
        <v>2.083333333333659E-4</v>
      </c>
      <c r="G15" s="10">
        <v>0.35327546296296297</v>
      </c>
      <c r="H15" s="10">
        <f t="shared" si="10"/>
        <v>1.1921296296296124E-3</v>
      </c>
      <c r="I15" s="10">
        <v>0.35446759259259258</v>
      </c>
      <c r="J15" s="14" t="str">
        <f t="shared" si="4"/>
        <v/>
      </c>
      <c r="K15" s="14">
        <f t="shared" si="7"/>
        <v>1.087962962962985E-3</v>
      </c>
      <c r="L15" s="9">
        <f t="shared" si="5"/>
        <v>4.6296296296266526E-5</v>
      </c>
      <c r="M15" s="9">
        <f t="shared" si="6"/>
        <v>0.35446759259259258</v>
      </c>
      <c r="N15" s="9">
        <f t="shared" si="0"/>
        <v>8.9120370370371349E-4</v>
      </c>
      <c r="O15" s="9">
        <v>0.3553587962962963</v>
      </c>
      <c r="P15" s="21" t="s">
        <v>17</v>
      </c>
      <c r="Q15" s="14">
        <f t="shared" si="11"/>
        <v>2.387731481481481E-2</v>
      </c>
      <c r="R15" s="48">
        <f>O16-O15</f>
        <v>4.3634259259259234E-3</v>
      </c>
      <c r="S15" s="16" t="str">
        <f>IF(V15&lt;O15,O15-V15,"")</f>
        <v/>
      </c>
      <c r="T15" s="10">
        <f>V13</f>
        <v>0.37923611111111111</v>
      </c>
      <c r="U15" s="10">
        <f>V15-T15</f>
        <v>2.9745370370370394E-3</v>
      </c>
      <c r="V15" s="10">
        <v>0.38221064814814815</v>
      </c>
      <c r="W15" s="17" t="s">
        <v>19</v>
      </c>
      <c r="X15" s="14"/>
      <c r="Y15" s="14"/>
      <c r="Z15" s="9"/>
      <c r="AA15" s="9"/>
      <c r="AB15" s="9"/>
      <c r="AC15" s="9"/>
      <c r="AD15" s="22">
        <f t="shared" si="12"/>
        <v>2.387731481481481E-2</v>
      </c>
      <c r="AE15" s="33">
        <f t="shared" si="1"/>
        <v>5.0578703703703654E-3</v>
      </c>
      <c r="AF15" s="33">
        <f t="shared" si="2"/>
        <v>2.8935185185185175E-2</v>
      </c>
    </row>
    <row r="16" spans="2:32" ht="15.6" x14ac:dyDescent="0.3">
      <c r="B16" s="8">
        <v>10</v>
      </c>
      <c r="C16" s="9">
        <v>0.35375000000000001</v>
      </c>
      <c r="D16" s="9">
        <f t="shared" si="3"/>
        <v>6.7361111111111094E-3</v>
      </c>
      <c r="E16" s="14">
        <f t="shared" si="8"/>
        <v>7.1759259259257524E-4</v>
      </c>
      <c r="F16" s="10" t="str">
        <f t="shared" si="9"/>
        <v/>
      </c>
      <c r="G16" s="10">
        <v>0.35446759259259258</v>
      </c>
      <c r="H16" s="10">
        <f t="shared" si="10"/>
        <v>1.087962962962985E-3</v>
      </c>
      <c r="I16" s="10">
        <v>0.35555555555555557</v>
      </c>
      <c r="J16" s="14" t="str">
        <f t="shared" si="4"/>
        <v/>
      </c>
      <c r="K16" s="14">
        <f t="shared" si="7"/>
        <v>5.7986111111110739E-3</v>
      </c>
      <c r="L16" s="9">
        <f t="shared" si="5"/>
        <v>1.9675925925927151E-4</v>
      </c>
      <c r="M16" s="9">
        <f t="shared" si="6"/>
        <v>0.35555555555555557</v>
      </c>
      <c r="N16" s="9">
        <f t="shared" si="0"/>
        <v>4.1666666666666519E-3</v>
      </c>
      <c r="O16" s="9">
        <v>0.35972222222222222</v>
      </c>
      <c r="P16" s="21" t="s">
        <v>17</v>
      </c>
      <c r="Q16" s="14">
        <f t="shared" si="11"/>
        <v>2.2488425925925926E-2</v>
      </c>
      <c r="R16" s="48">
        <f t="shared" ref="R16" si="14">O17-O16</f>
        <v>3.5879629629629872E-3</v>
      </c>
      <c r="S16" s="16" t="str">
        <f>IF(V16&lt;O16,O16-V16,"")</f>
        <v/>
      </c>
      <c r="T16" s="10">
        <f>IF(V15&gt;O16,V15,O16)</f>
        <v>0.38221064814814815</v>
      </c>
      <c r="U16" s="10">
        <f>V16-T16</f>
        <v>1.0381944444444458E-2</v>
      </c>
      <c r="V16" s="10">
        <v>0.3925925925925926</v>
      </c>
      <c r="W16" s="17" t="s">
        <v>7</v>
      </c>
      <c r="X16" s="14"/>
      <c r="Y16" s="14">
        <f>V17-V16</f>
        <v>5.2662037037036757E-3</v>
      </c>
      <c r="Z16" s="9"/>
      <c r="AA16" s="9">
        <f>V16</f>
        <v>0.3925925925925926</v>
      </c>
      <c r="AB16" s="9">
        <v>1.9907407407407374E-3</v>
      </c>
      <c r="AC16" s="9">
        <f>AA16+AB16</f>
        <v>0.39458333333333334</v>
      </c>
      <c r="AD16" s="22">
        <f t="shared" si="12"/>
        <v>2.3206018518518501E-2</v>
      </c>
      <c r="AE16" s="33">
        <f t="shared" si="1"/>
        <v>1.7627314814814832E-2</v>
      </c>
      <c r="AF16" s="33">
        <f t="shared" si="2"/>
        <v>4.0833333333333333E-2</v>
      </c>
    </row>
    <row r="17" spans="2:32" ht="15.6" x14ac:dyDescent="0.3">
      <c r="B17" s="8">
        <v>11</v>
      </c>
      <c r="C17" s="9">
        <v>0.36048611111111112</v>
      </c>
      <c r="D17" s="9">
        <f t="shared" si="3"/>
        <v>6.3657407407408106E-4</v>
      </c>
      <c r="E17" s="14" t="str">
        <f t="shared" si="8"/>
        <v/>
      </c>
      <c r="F17" s="10">
        <f t="shared" si="9"/>
        <v>4.9305555555555491E-3</v>
      </c>
      <c r="G17" s="10">
        <v>0.36048611111111112</v>
      </c>
      <c r="H17" s="10">
        <f t="shared" si="10"/>
        <v>8.6805555555552472E-4</v>
      </c>
      <c r="I17" s="10">
        <v>0.36135416666666664</v>
      </c>
      <c r="J17" s="14" t="str">
        <f t="shared" si="4"/>
        <v/>
      </c>
      <c r="K17" s="14">
        <f t="shared" si="7"/>
        <v>1.2731481481481621E-3</v>
      </c>
      <c r="L17" s="9">
        <f t="shared" si="5"/>
        <v>1.631944444444422E-3</v>
      </c>
      <c r="M17" s="9">
        <f t="shared" si="6"/>
        <v>0.36135416666666664</v>
      </c>
      <c r="N17" s="9">
        <f t="shared" si="0"/>
        <v>1.9560185185185652E-3</v>
      </c>
      <c r="O17" s="9">
        <v>0.36331018518518521</v>
      </c>
      <c r="P17" s="21" t="s">
        <v>17</v>
      </c>
      <c r="Q17" s="14">
        <f t="shared" si="11"/>
        <v>2.9282407407407396E-2</v>
      </c>
      <c r="R17" s="48">
        <f>O19-O17</f>
        <v>3.8425925925925641E-3</v>
      </c>
      <c r="S17" s="16" t="str">
        <f>IF(V17&lt;O17,O17-V17,"")</f>
        <v/>
      </c>
      <c r="T17" s="10">
        <f>IF(V16&gt;O17,V16,O17)</f>
        <v>0.3925925925925926</v>
      </c>
      <c r="U17" s="10">
        <f>V17-T17</f>
        <v>5.2662037037036757E-3</v>
      </c>
      <c r="V17" s="10">
        <v>0.39785879629629628</v>
      </c>
      <c r="W17" s="17" t="s">
        <v>7</v>
      </c>
      <c r="X17" s="14"/>
      <c r="Y17" s="14">
        <f>V20-V17</f>
        <v>1.3495370370370408E-2</v>
      </c>
      <c r="Z17" s="9"/>
      <c r="AA17" s="9">
        <f>AC16</f>
        <v>0.39458333333333334</v>
      </c>
      <c r="AB17" s="9">
        <v>2.5115740740740966E-3</v>
      </c>
      <c r="AC17" s="9">
        <f>AA17+AB17</f>
        <v>0.39709490740740744</v>
      </c>
      <c r="AD17" s="22">
        <f t="shared" si="12"/>
        <v>2.9282407407407396E-2</v>
      </c>
      <c r="AE17" s="33">
        <f t="shared" si="1"/>
        <v>1.0601851851851862E-2</v>
      </c>
      <c r="AF17" s="33">
        <f t="shared" si="2"/>
        <v>3.9884259259259258E-2</v>
      </c>
    </row>
    <row r="18" spans="2:32" ht="15.6" x14ac:dyDescent="0.3">
      <c r="B18" s="8">
        <v>12</v>
      </c>
      <c r="C18" s="9">
        <v>0.3611226851851852</v>
      </c>
      <c r="D18" s="9">
        <f t="shared" si="3"/>
        <v>1.3078703703703343E-3</v>
      </c>
      <c r="E18" s="14">
        <f t="shared" si="8"/>
        <v>2.3148148148144365E-4</v>
      </c>
      <c r="F18" s="10" t="str">
        <f>IF(G18&gt;I17,G18-I17,"")</f>
        <v/>
      </c>
      <c r="G18" s="10">
        <v>0.36135416666666664</v>
      </c>
      <c r="H18" s="10">
        <f t="shared" si="10"/>
        <v>1.2731481481481621E-3</v>
      </c>
      <c r="I18" s="10">
        <v>0.36262731481481481</v>
      </c>
      <c r="J18" s="14">
        <f t="shared" si="4"/>
        <v>6.828703703704031E-4</v>
      </c>
      <c r="K18" s="14">
        <f t="shared" si="7"/>
        <v>9.1435185185184675E-4</v>
      </c>
      <c r="L18" s="9" t="str">
        <f t="shared" si="5"/>
        <v/>
      </c>
      <c r="M18" s="9">
        <f t="shared" si="6"/>
        <v>0.36331018518518521</v>
      </c>
      <c r="N18" s="9">
        <f t="shared" si="0"/>
        <v>2.5231481481481355E-3</v>
      </c>
      <c r="O18" s="9">
        <v>0.36583333333333334</v>
      </c>
      <c r="P18" s="21" t="s">
        <v>18</v>
      </c>
      <c r="Q18" s="14" t="str">
        <f t="shared" si="11"/>
        <v/>
      </c>
      <c r="R18" s="48"/>
      <c r="S18" s="16"/>
      <c r="T18" s="10"/>
      <c r="U18" s="10"/>
      <c r="V18" s="10"/>
      <c r="W18" s="17"/>
      <c r="X18" s="14"/>
      <c r="Y18" s="14"/>
      <c r="Z18" s="9"/>
      <c r="AA18" s="9"/>
      <c r="AB18" s="9"/>
      <c r="AC18" s="9"/>
      <c r="AD18" s="22">
        <f t="shared" si="12"/>
        <v>9.1435185185184675E-4</v>
      </c>
      <c r="AE18" s="33">
        <f t="shared" si="1"/>
        <v>3.7962962962962976E-3</v>
      </c>
      <c r="AF18" s="33">
        <f t="shared" si="2"/>
        <v>4.7106481481481444E-3</v>
      </c>
    </row>
    <row r="19" spans="2:32" ht="15.6" x14ac:dyDescent="0.3">
      <c r="B19" s="8">
        <v>13</v>
      </c>
      <c r="C19" s="9">
        <v>0.36243055555555553</v>
      </c>
      <c r="D19" s="9">
        <f t="shared" si="3"/>
        <v>1.0185185185185297E-3</v>
      </c>
      <c r="E19" s="14">
        <f t="shared" si="8"/>
        <v>1.9675925925927151E-4</v>
      </c>
      <c r="F19" s="10" t="str">
        <f t="shared" si="9"/>
        <v/>
      </c>
      <c r="G19" s="10">
        <v>0.36262731481481481</v>
      </c>
      <c r="H19" s="10">
        <f t="shared" si="10"/>
        <v>9.1435185185184675E-4</v>
      </c>
      <c r="I19" s="10">
        <v>0.36354166666666665</v>
      </c>
      <c r="J19" s="14">
        <f t="shared" si="4"/>
        <v>2.2916666666666918E-3</v>
      </c>
      <c r="K19" s="14">
        <f t="shared" si="7"/>
        <v>3.4027777777778101E-3</v>
      </c>
      <c r="L19" s="9" t="str">
        <f t="shared" si="5"/>
        <v/>
      </c>
      <c r="M19" s="9">
        <f t="shared" si="6"/>
        <v>0.36583333333333334</v>
      </c>
      <c r="N19" s="9">
        <f t="shared" si="0"/>
        <v>1.3194444444444287E-3</v>
      </c>
      <c r="O19" s="9">
        <v>0.36715277777777777</v>
      </c>
      <c r="P19" s="21" t="s">
        <v>17</v>
      </c>
      <c r="Q19" s="14">
        <f t="shared" si="11"/>
        <v>3.0706018518518507E-2</v>
      </c>
      <c r="R19" s="48">
        <f>O20-O19</f>
        <v>3.0208333333333615E-3</v>
      </c>
      <c r="S19" s="16" t="str">
        <f t="shared" ref="S19:S24" si="15">IF(V19&lt;O19,O19-V19,"")</f>
        <v/>
      </c>
      <c r="T19" s="10">
        <f>V17</f>
        <v>0.39785879629629628</v>
      </c>
      <c r="U19" s="10">
        <f t="shared" ref="U19:U24" si="16">V19-T19</f>
        <v>2.4074074074074137E-3</v>
      </c>
      <c r="V19" s="10">
        <v>0.40026620370370369</v>
      </c>
      <c r="W19" s="17" t="s">
        <v>19</v>
      </c>
      <c r="X19" s="14"/>
      <c r="Y19" s="14"/>
      <c r="Z19" s="9"/>
      <c r="AA19" s="9"/>
      <c r="AB19" s="9"/>
      <c r="AC19" s="9"/>
      <c r="AD19" s="22">
        <f t="shared" si="12"/>
        <v>3.3194444444444471E-2</v>
      </c>
      <c r="AE19" s="33">
        <f t="shared" si="1"/>
        <v>4.6412037037036891E-3</v>
      </c>
      <c r="AF19" s="33">
        <f t="shared" si="2"/>
        <v>3.783564814814816E-2</v>
      </c>
    </row>
    <row r="20" spans="2:32" ht="15.6" x14ac:dyDescent="0.3">
      <c r="B20" s="8">
        <v>14</v>
      </c>
      <c r="C20" s="9">
        <v>0.36344907407407406</v>
      </c>
      <c r="D20" s="9">
        <f t="shared" si="3"/>
        <v>4.4328703703703787E-3</v>
      </c>
      <c r="E20" s="14">
        <f t="shared" si="8"/>
        <v>9.2592592592588563E-5</v>
      </c>
      <c r="F20" s="10" t="str">
        <f t="shared" si="9"/>
        <v/>
      </c>
      <c r="G20" s="10">
        <v>0.36354166666666665</v>
      </c>
      <c r="H20" s="10">
        <f t="shared" si="10"/>
        <v>3.4027777777778101E-3</v>
      </c>
      <c r="I20" s="10">
        <v>0.36694444444444446</v>
      </c>
      <c r="J20" s="14">
        <f t="shared" si="4"/>
        <v>2.0833333333331039E-4</v>
      </c>
      <c r="K20" s="14">
        <f t="shared" si="7"/>
        <v>1.6666666666666496E-3</v>
      </c>
      <c r="L20" s="9" t="str">
        <f t="shared" si="5"/>
        <v/>
      </c>
      <c r="M20" s="9">
        <f t="shared" si="6"/>
        <v>0.36715277777777777</v>
      </c>
      <c r="N20" s="9">
        <f t="shared" si="0"/>
        <v>3.0208333333333615E-3</v>
      </c>
      <c r="O20" s="9">
        <v>0.37017361111111113</v>
      </c>
      <c r="P20" s="21" t="s">
        <v>17</v>
      </c>
      <c r="Q20" s="14">
        <f t="shared" si="11"/>
        <v>3.009259259259256E-2</v>
      </c>
      <c r="R20" s="48">
        <f t="shared" ref="R20:R23" si="17">O21-O20</f>
        <v>2.0833333333333259E-3</v>
      </c>
      <c r="S20" s="16" t="str">
        <f t="shared" si="15"/>
        <v/>
      </c>
      <c r="T20" s="10">
        <f>IF(V19&gt;O20,V19,O20)</f>
        <v>0.40026620370370369</v>
      </c>
      <c r="U20" s="10">
        <f t="shared" si="16"/>
        <v>1.1087962962962994E-2</v>
      </c>
      <c r="V20" s="10">
        <v>0.41135416666666669</v>
      </c>
      <c r="W20" s="17" t="s">
        <v>7</v>
      </c>
      <c r="X20" s="14"/>
      <c r="Y20" s="14">
        <f>V22-V20</f>
        <v>1.5138888888888868E-2</v>
      </c>
      <c r="Z20" s="9">
        <f>AA20-AC17</f>
        <v>1.4259259259259249E-2</v>
      </c>
      <c r="AA20" s="9">
        <f>V20</f>
        <v>0.41135416666666669</v>
      </c>
      <c r="AB20" s="9">
        <v>5.4745370370370416E-3</v>
      </c>
      <c r="AC20" s="9">
        <f>AA20+AB20</f>
        <v>0.41682870370370373</v>
      </c>
      <c r="AD20" s="22">
        <f t="shared" si="12"/>
        <v>3.0393518518518459E-2</v>
      </c>
      <c r="AE20" s="33">
        <f t="shared" si="1"/>
        <v>2.2986111111111207E-2</v>
      </c>
      <c r="AF20" s="33">
        <f t="shared" si="2"/>
        <v>5.3379629629629666E-2</v>
      </c>
    </row>
    <row r="21" spans="2:32" ht="15.6" x14ac:dyDescent="0.3">
      <c r="B21" s="8">
        <v>15</v>
      </c>
      <c r="C21" s="9">
        <v>0.36788194444444444</v>
      </c>
      <c r="D21" s="9">
        <f t="shared" si="3"/>
        <v>5.2430555555555425E-3</v>
      </c>
      <c r="E21" s="14" t="str">
        <f t="shared" si="8"/>
        <v/>
      </c>
      <c r="F21" s="10">
        <f t="shared" si="9"/>
        <v>9.3749999999998002E-4</v>
      </c>
      <c r="G21" s="10">
        <f>IF(C21&gt;I20,C21,I20)</f>
        <v>0.36788194444444444</v>
      </c>
      <c r="H21" s="10">
        <f t="shared" si="10"/>
        <v>7.2916666666666963E-4</v>
      </c>
      <c r="I21" s="10">
        <v>0.36861111111111111</v>
      </c>
      <c r="J21" s="14">
        <f t="shared" si="4"/>
        <v>1.5625000000000222E-3</v>
      </c>
      <c r="K21" s="14">
        <f t="shared" si="7"/>
        <v>5.3703703703703587E-3</v>
      </c>
      <c r="L21" s="9" t="str">
        <f t="shared" si="5"/>
        <v/>
      </c>
      <c r="M21" s="9">
        <f t="shared" si="6"/>
        <v>0.37017361111111113</v>
      </c>
      <c r="N21" s="9">
        <f t="shared" si="0"/>
        <v>2.0833333333333259E-3</v>
      </c>
      <c r="O21" s="9">
        <v>0.37225694444444446</v>
      </c>
      <c r="P21" s="21" t="s">
        <v>17</v>
      </c>
      <c r="Q21" s="14">
        <f t="shared" si="11"/>
        <v>3.9097222222222228E-2</v>
      </c>
      <c r="R21" s="48">
        <f t="shared" si="17"/>
        <v>2.7430555555555403E-3</v>
      </c>
      <c r="S21" s="16" t="str">
        <f t="shared" si="15"/>
        <v/>
      </c>
      <c r="T21" s="10">
        <f>IF(V20&gt;O21,V20,O21)</f>
        <v>0.41135416666666669</v>
      </c>
      <c r="U21" s="10">
        <f t="shared" si="16"/>
        <v>3.8773148148147918E-3</v>
      </c>
      <c r="V21" s="10">
        <v>0.41523148148148148</v>
      </c>
      <c r="W21" s="17" t="s">
        <v>19</v>
      </c>
      <c r="X21" s="14"/>
      <c r="Y21" s="14"/>
      <c r="Z21" s="9"/>
      <c r="AA21" s="9"/>
      <c r="AB21" s="9"/>
      <c r="AC21" s="9"/>
      <c r="AD21" s="22">
        <f t="shared" si="12"/>
        <v>4.065972222222225E-2</v>
      </c>
      <c r="AE21" s="33">
        <f t="shared" si="1"/>
        <v>6.6898148148147873E-3</v>
      </c>
      <c r="AF21" s="33">
        <f t="shared" si="2"/>
        <v>4.7349537037037037E-2</v>
      </c>
    </row>
    <row r="22" spans="2:32" ht="15.6" x14ac:dyDescent="0.3">
      <c r="B22" s="8">
        <v>16</v>
      </c>
      <c r="C22" s="9">
        <v>0.37312499999999998</v>
      </c>
      <c r="D22" s="9">
        <f t="shared" si="3"/>
        <v>4.3981481481480955E-4</v>
      </c>
      <c r="E22" s="14" t="str">
        <f t="shared" si="8"/>
        <v/>
      </c>
      <c r="F22" s="10">
        <f t="shared" si="9"/>
        <v>4.5138888888888729E-3</v>
      </c>
      <c r="G22" s="10">
        <f t="shared" ref="G22:G31" si="18">IF(C22&gt;I21,C22,I21)</f>
        <v>0.37312499999999998</v>
      </c>
      <c r="H22" s="10">
        <f t="shared" si="10"/>
        <v>8.5648148148148584E-4</v>
      </c>
      <c r="I22" s="10">
        <v>0.37398148148148147</v>
      </c>
      <c r="J22" s="14" t="str">
        <f t="shared" si="4"/>
        <v/>
      </c>
      <c r="K22" s="14">
        <f t="shared" si="7"/>
        <v>9.490740740740744E-4</v>
      </c>
      <c r="L22" s="9">
        <f t="shared" si="5"/>
        <v>1.7245370370370106E-3</v>
      </c>
      <c r="M22" s="9">
        <f t="shared" si="6"/>
        <v>0.37398148148148147</v>
      </c>
      <c r="N22" s="9">
        <f t="shared" si="0"/>
        <v>1.0185185185185297E-3</v>
      </c>
      <c r="O22" s="9">
        <v>0.375</v>
      </c>
      <c r="P22" s="21" t="s">
        <v>17</v>
      </c>
      <c r="Q22" s="14">
        <f t="shared" si="11"/>
        <v>4.0231481481481479E-2</v>
      </c>
      <c r="R22" s="48">
        <f t="shared" si="17"/>
        <v>1.5856481481481555E-3</v>
      </c>
      <c r="S22" s="16" t="str">
        <f t="shared" si="15"/>
        <v/>
      </c>
      <c r="T22" s="10">
        <f>IF(V21&gt;O22,V21,O22)</f>
        <v>0.41523148148148148</v>
      </c>
      <c r="U22" s="10">
        <f t="shared" si="16"/>
        <v>1.1261574074074077E-2</v>
      </c>
      <c r="V22" s="10">
        <v>0.42649305555555556</v>
      </c>
      <c r="W22" s="17" t="s">
        <v>7</v>
      </c>
      <c r="X22" s="14"/>
      <c r="Y22" s="14">
        <f>V24-V22</f>
        <v>1.8784722222222217E-2</v>
      </c>
      <c r="Z22" s="9">
        <f>AA22-AC20</f>
        <v>9.6643518518518268E-3</v>
      </c>
      <c r="AA22" s="9">
        <f>V22</f>
        <v>0.42649305555555556</v>
      </c>
      <c r="AB22" s="9">
        <v>4.2592592592592959E-3</v>
      </c>
      <c r="AC22" s="9">
        <f>AA22+AB22</f>
        <v>0.43075231481481485</v>
      </c>
      <c r="AD22" s="22">
        <f t="shared" si="12"/>
        <v>4.0231481481481479E-2</v>
      </c>
      <c r="AE22" s="33">
        <f t="shared" si="1"/>
        <v>1.7395833333333388E-2</v>
      </c>
      <c r="AF22" s="33">
        <f t="shared" si="2"/>
        <v>5.7627314814814867E-2</v>
      </c>
    </row>
    <row r="23" spans="2:32" ht="15.6" x14ac:dyDescent="0.3">
      <c r="B23" s="8">
        <v>17</v>
      </c>
      <c r="C23" s="9">
        <v>0.37356481481481479</v>
      </c>
      <c r="D23" s="9">
        <f t="shared" si="3"/>
        <v>7.4074074074076401E-4</v>
      </c>
      <c r="E23" s="14">
        <f t="shared" si="8"/>
        <v>4.1666666666667629E-4</v>
      </c>
      <c r="F23" s="10" t="str">
        <f t="shared" si="9"/>
        <v/>
      </c>
      <c r="G23" s="10">
        <f t="shared" si="18"/>
        <v>0.37398148148148147</v>
      </c>
      <c r="H23" s="10">
        <f t="shared" si="10"/>
        <v>9.490740740740744E-4</v>
      </c>
      <c r="I23" s="10">
        <v>0.37493055555555554</v>
      </c>
      <c r="J23" s="14">
        <f t="shared" si="4"/>
        <v>6.94444444444553E-5</v>
      </c>
      <c r="K23" s="14">
        <f t="shared" si="7"/>
        <v>1.4004629629629783E-3</v>
      </c>
      <c r="L23" s="9" t="str">
        <f t="shared" si="5"/>
        <v/>
      </c>
      <c r="M23" s="9">
        <f t="shared" si="6"/>
        <v>0.375</v>
      </c>
      <c r="N23" s="9">
        <f t="shared" si="0"/>
        <v>1.5856481481481555E-3</v>
      </c>
      <c r="O23" s="9">
        <v>0.37658564814814816</v>
      </c>
      <c r="P23" s="21" t="s">
        <v>17</v>
      </c>
      <c r="Q23" s="14">
        <f t="shared" si="11"/>
        <v>4.99074074074074E-2</v>
      </c>
      <c r="R23" s="48">
        <f t="shared" si="17"/>
        <v>1.9560185185185097E-3</v>
      </c>
      <c r="S23" s="16" t="str">
        <f t="shared" si="15"/>
        <v/>
      </c>
      <c r="T23" s="10">
        <f>IF(V22&gt;O23,V22,O23)</f>
        <v>0.42649305555555556</v>
      </c>
      <c r="U23" s="10">
        <f t="shared" si="16"/>
        <v>4.5949074074074225E-3</v>
      </c>
      <c r="V23" s="10">
        <v>0.43108796296296298</v>
      </c>
      <c r="W23" s="17" t="s">
        <v>19</v>
      </c>
      <c r="X23" s="14"/>
      <c r="Y23" s="14"/>
      <c r="Z23" s="9"/>
      <c r="AA23" s="9"/>
      <c r="AB23" s="9"/>
      <c r="AC23" s="9"/>
      <c r="AD23" s="22">
        <f t="shared" si="12"/>
        <v>5.0393518518518532E-2</v>
      </c>
      <c r="AE23" s="33">
        <f t="shared" si="1"/>
        <v>7.1296296296296524E-3</v>
      </c>
      <c r="AF23" s="33">
        <f t="shared" si="2"/>
        <v>5.7523148148148184E-2</v>
      </c>
    </row>
    <row r="24" spans="2:32" ht="15.6" x14ac:dyDescent="0.3">
      <c r="B24" s="8">
        <v>18</v>
      </c>
      <c r="C24" s="9">
        <v>0.37430555555555556</v>
      </c>
      <c r="D24" s="9">
        <f t="shared" si="3"/>
        <v>1.6435185185185164E-3</v>
      </c>
      <c r="E24" s="14">
        <f t="shared" si="8"/>
        <v>6.2499999999998668E-4</v>
      </c>
      <c r="F24" s="10" t="str">
        <f t="shared" si="9"/>
        <v/>
      </c>
      <c r="G24" s="10">
        <f t="shared" si="18"/>
        <v>0.37493055555555554</v>
      </c>
      <c r="H24" s="10">
        <f t="shared" si="10"/>
        <v>1.4004629629629783E-3</v>
      </c>
      <c r="I24" s="10">
        <v>0.37633101851851852</v>
      </c>
      <c r="J24" s="14">
        <f t="shared" si="4"/>
        <v>2.5462962962963243E-4</v>
      </c>
      <c r="K24" s="14">
        <f t="shared" si="7"/>
        <v>5.0925925925926485E-4</v>
      </c>
      <c r="L24" s="9" t="str">
        <f t="shared" si="5"/>
        <v/>
      </c>
      <c r="M24" s="9">
        <f t="shared" si="6"/>
        <v>0.37658564814814816</v>
      </c>
      <c r="N24" s="9">
        <f t="shared" si="0"/>
        <v>1.9560185185185097E-3</v>
      </c>
      <c r="O24" s="9">
        <v>0.37854166666666667</v>
      </c>
      <c r="P24" s="21" t="s">
        <v>17</v>
      </c>
      <c r="Q24" s="14">
        <f t="shared" si="11"/>
        <v>5.2546296296296313E-2</v>
      </c>
      <c r="R24" s="48">
        <f>O26-O24</f>
        <v>2.6967592592592737E-3</v>
      </c>
      <c r="S24" s="16" t="str">
        <f t="shared" si="15"/>
        <v/>
      </c>
      <c r="T24" s="10">
        <f>IF(V23&gt;O24,V23,O24)</f>
        <v>0.43108796296296298</v>
      </c>
      <c r="U24" s="10">
        <f t="shared" si="16"/>
        <v>1.4189814814814794E-2</v>
      </c>
      <c r="V24" s="10">
        <v>0.44527777777777777</v>
      </c>
      <c r="W24" s="17" t="s">
        <v>7</v>
      </c>
      <c r="X24" s="14"/>
      <c r="Y24" s="14">
        <f>V26-V24</f>
        <v>6.6782407407407485E-3</v>
      </c>
      <c r="Z24" s="9">
        <f>AA24-AC22</f>
        <v>1.4525462962962921E-2</v>
      </c>
      <c r="AA24" s="9">
        <f>V24</f>
        <v>0.44527777777777777</v>
      </c>
      <c r="AB24" s="9">
        <v>6.5625000000000266E-3</v>
      </c>
      <c r="AC24" s="9">
        <f>AA24+AB24</f>
        <v>0.4518402777777778</v>
      </c>
      <c r="AD24" s="22">
        <f t="shared" si="12"/>
        <v>5.3425925925925932E-2</v>
      </c>
      <c r="AE24" s="33">
        <f t="shared" si="1"/>
        <v>2.4108796296296309E-2</v>
      </c>
      <c r="AF24" s="33">
        <f t="shared" si="2"/>
        <v>7.7534722222222241E-2</v>
      </c>
    </row>
    <row r="25" spans="2:32" ht="15.6" x14ac:dyDescent="0.3">
      <c r="B25" s="8">
        <v>19</v>
      </c>
      <c r="C25" s="9">
        <v>0.37594907407407407</v>
      </c>
      <c r="D25" s="9">
        <f t="shared" si="3"/>
        <v>1.388888888889106E-4</v>
      </c>
      <c r="E25" s="14">
        <f t="shared" si="8"/>
        <v>3.8194444444444864E-4</v>
      </c>
      <c r="F25" s="10" t="str">
        <f t="shared" si="9"/>
        <v/>
      </c>
      <c r="G25" s="10">
        <f t="shared" si="18"/>
        <v>0.37633101851851852</v>
      </c>
      <c r="H25" s="10">
        <f t="shared" si="10"/>
        <v>5.0925925925926485E-4</v>
      </c>
      <c r="I25" s="10">
        <v>0.37684027777777779</v>
      </c>
      <c r="J25" s="14">
        <f t="shared" si="4"/>
        <v>1.7013888888888773E-3</v>
      </c>
      <c r="K25" s="14">
        <f t="shared" si="7"/>
        <v>4.745370370370372E-4</v>
      </c>
      <c r="L25" s="9" t="str">
        <f t="shared" si="5"/>
        <v/>
      </c>
      <c r="M25" s="9">
        <f t="shared" si="6"/>
        <v>0.37854166666666667</v>
      </c>
      <c r="N25" s="9">
        <f t="shared" si="0"/>
        <v>1.5625000000000222E-3</v>
      </c>
      <c r="O25" s="9">
        <v>0.38010416666666669</v>
      </c>
      <c r="P25" s="21" t="s">
        <v>18</v>
      </c>
      <c r="Q25" s="14" t="str">
        <f t="shared" si="11"/>
        <v/>
      </c>
      <c r="R25" s="48"/>
      <c r="S25" s="16"/>
      <c r="T25" s="10"/>
      <c r="U25" s="10"/>
      <c r="V25" s="10"/>
      <c r="W25" s="17"/>
      <c r="X25" s="14"/>
      <c r="Y25" s="14"/>
      <c r="Z25" s="9" t="s">
        <v>20</v>
      </c>
      <c r="AA25" s="9"/>
      <c r="AB25" s="9"/>
      <c r="AC25" s="9"/>
      <c r="AD25" s="22">
        <f t="shared" si="12"/>
        <v>2.0833333333333259E-3</v>
      </c>
      <c r="AE25" s="33">
        <f t="shared" si="1"/>
        <v>2.0717592592592871E-3</v>
      </c>
      <c r="AF25" s="33">
        <f t="shared" si="2"/>
        <v>4.155092592592613E-3</v>
      </c>
    </row>
    <row r="26" spans="2:32" ht="15.6" x14ac:dyDescent="0.3">
      <c r="B26" s="8">
        <v>20</v>
      </c>
      <c r="C26" s="9">
        <v>0.37608796296296299</v>
      </c>
      <c r="D26" s="9">
        <f>C27-C26</f>
        <v>1.7592592592592382E-3</v>
      </c>
      <c r="E26" s="14">
        <f t="shared" si="8"/>
        <v>7.5231481481480289E-4</v>
      </c>
      <c r="F26" s="10" t="str">
        <f t="shared" si="9"/>
        <v/>
      </c>
      <c r="G26" s="10">
        <f t="shared" si="18"/>
        <v>0.37684027777777779</v>
      </c>
      <c r="H26" s="10">
        <f t="shared" si="10"/>
        <v>4.745370370370372E-4</v>
      </c>
      <c r="I26" s="10">
        <v>0.37731481481481483</v>
      </c>
      <c r="J26" s="14">
        <f t="shared" si="4"/>
        <v>2.7893518518518623E-3</v>
      </c>
      <c r="K26" s="14">
        <f t="shared" si="7"/>
        <v>1.1574074074073848E-3</v>
      </c>
      <c r="L26" s="9" t="str">
        <f t="shared" si="5"/>
        <v/>
      </c>
      <c r="M26" s="9">
        <f t="shared" si="6"/>
        <v>0.38010416666666669</v>
      </c>
      <c r="N26" s="9">
        <f t="shared" si="0"/>
        <v>1.1342592592592515E-3</v>
      </c>
      <c r="O26" s="9">
        <v>0.38123842592592594</v>
      </c>
      <c r="P26" s="21" t="s">
        <v>17</v>
      </c>
      <c r="Q26" s="14">
        <f t="shared" si="11"/>
        <v>6.4039351851851833E-2</v>
      </c>
      <c r="R26" s="48">
        <f>O29-O26</f>
        <v>4.9537037037036824E-3</v>
      </c>
      <c r="S26" s="16" t="str">
        <f>IF(V26&lt;O26,O26-V26,"")</f>
        <v/>
      </c>
      <c r="T26" s="10">
        <f>V24</f>
        <v>0.44527777777777777</v>
      </c>
      <c r="U26" s="10">
        <f>V26-T26</f>
        <v>6.6782407407407485E-3</v>
      </c>
      <c r="V26" s="10">
        <v>0.45195601851851852</v>
      </c>
      <c r="W26" s="17" t="s">
        <v>7</v>
      </c>
      <c r="X26" s="14"/>
      <c r="Y26" s="14">
        <f>V32-V26</f>
        <v>1.3437499999999991E-2</v>
      </c>
      <c r="Z26" s="9">
        <f>AA26-AC24</f>
        <v>1.1574074074072183E-4</v>
      </c>
      <c r="AA26" s="9">
        <f>V26</f>
        <v>0.45195601851851852</v>
      </c>
      <c r="AB26" s="9">
        <v>1.2152777777778012E-3</v>
      </c>
      <c r="AC26" s="9">
        <f>AA26+AB26</f>
        <v>0.45317129629629632</v>
      </c>
      <c r="AD26" s="22">
        <f t="shared" si="12"/>
        <v>6.7581018518518499E-2</v>
      </c>
      <c r="AE26" s="33">
        <f t="shared" si="1"/>
        <v>9.5023148148148384E-3</v>
      </c>
      <c r="AF26" s="33">
        <f t="shared" si="2"/>
        <v>7.7083333333333337E-2</v>
      </c>
    </row>
    <row r="27" spans="2:32" ht="15.6" x14ac:dyDescent="0.3">
      <c r="B27" s="8">
        <v>21</v>
      </c>
      <c r="C27" s="9">
        <v>0.37784722222222222</v>
      </c>
      <c r="D27" s="9">
        <f t="shared" si="3"/>
        <v>5.0925925925926485E-4</v>
      </c>
      <c r="E27" s="14" t="str">
        <f t="shared" si="8"/>
        <v/>
      </c>
      <c r="F27" s="10">
        <f t="shared" si="9"/>
        <v>5.3240740740739811E-4</v>
      </c>
      <c r="G27" s="10">
        <f t="shared" si="18"/>
        <v>0.37784722222222222</v>
      </c>
      <c r="H27" s="10">
        <f t="shared" si="10"/>
        <v>6.2499999999998668E-4</v>
      </c>
      <c r="I27" s="10">
        <v>0.37847222222222221</v>
      </c>
      <c r="J27" s="14">
        <f t="shared" si="4"/>
        <v>2.766203703703729E-3</v>
      </c>
      <c r="K27" s="14">
        <f t="shared" si="7"/>
        <v>8.5648148148148584E-4</v>
      </c>
      <c r="L27" s="9" t="str">
        <f t="shared" si="5"/>
        <v/>
      </c>
      <c r="M27" s="9">
        <f t="shared" si="6"/>
        <v>0.38123842592592594</v>
      </c>
      <c r="N27" s="9">
        <f t="shared" si="0"/>
        <v>1.4004629629629228E-3</v>
      </c>
      <c r="O27" s="9">
        <v>0.38263888888888886</v>
      </c>
      <c r="P27" s="21" t="s">
        <v>18</v>
      </c>
      <c r="Q27" s="14" t="str">
        <f t="shared" si="11"/>
        <v/>
      </c>
      <c r="R27" s="48"/>
      <c r="S27" s="16"/>
      <c r="T27" s="10"/>
      <c r="U27" s="10"/>
      <c r="V27" s="10"/>
      <c r="W27" s="17"/>
      <c r="X27" s="14"/>
      <c r="Y27" s="14"/>
      <c r="Z27" s="9" t="s">
        <v>20</v>
      </c>
      <c r="AA27" s="9"/>
      <c r="AB27" s="9"/>
      <c r="AC27" s="9"/>
      <c r="AD27" s="22">
        <f t="shared" si="12"/>
        <v>2.766203703703729E-3</v>
      </c>
      <c r="AE27" s="33">
        <f t="shared" si="1"/>
        <v>2.0254629629629095E-3</v>
      </c>
      <c r="AF27" s="33">
        <f t="shared" si="2"/>
        <v>4.7916666666666385E-3</v>
      </c>
    </row>
    <row r="28" spans="2:32" ht="15.6" x14ac:dyDescent="0.3">
      <c r="B28" s="8">
        <v>22</v>
      </c>
      <c r="C28" s="9">
        <v>0.37835648148148149</v>
      </c>
      <c r="D28" s="9">
        <f t="shared" si="3"/>
        <v>4.2824074074073737E-3</v>
      </c>
      <c r="E28" s="14">
        <f t="shared" si="8"/>
        <v>1.1574074074072183E-4</v>
      </c>
      <c r="F28" s="10" t="str">
        <f t="shared" si="9"/>
        <v/>
      </c>
      <c r="G28" s="10">
        <f t="shared" si="18"/>
        <v>0.37847222222222221</v>
      </c>
      <c r="H28" s="10">
        <f t="shared" si="10"/>
        <v>8.5648148148148584E-4</v>
      </c>
      <c r="I28" s="10">
        <v>0.3793287037037037</v>
      </c>
      <c r="J28" s="14">
        <f t="shared" si="4"/>
        <v>3.310185185185166E-3</v>
      </c>
      <c r="K28" s="14">
        <f t="shared" si="7"/>
        <v>4.0740740740740633E-3</v>
      </c>
      <c r="L28" s="9" t="str">
        <f t="shared" si="5"/>
        <v/>
      </c>
      <c r="M28" s="9">
        <f t="shared" si="6"/>
        <v>0.38263888888888886</v>
      </c>
      <c r="N28" s="9">
        <f t="shared" si="0"/>
        <v>2.2106481481481977E-3</v>
      </c>
      <c r="O28" s="9">
        <v>0.38484953703703706</v>
      </c>
      <c r="P28" s="21" t="s">
        <v>18</v>
      </c>
      <c r="Q28" s="14" t="str">
        <f t="shared" si="11"/>
        <v/>
      </c>
      <c r="R28" s="48"/>
      <c r="S28" s="16"/>
      <c r="T28" s="10"/>
      <c r="U28" s="10"/>
      <c r="V28" s="10"/>
      <c r="W28" s="17"/>
      <c r="X28" s="14"/>
      <c r="Y28" s="14"/>
      <c r="Z28" s="9" t="s">
        <v>20</v>
      </c>
      <c r="AA28" s="9"/>
      <c r="AB28" s="9"/>
      <c r="AC28" s="9"/>
      <c r="AD28" s="22">
        <f t="shared" si="12"/>
        <v>3.4259259259258878E-3</v>
      </c>
      <c r="AE28" s="33">
        <f t="shared" si="1"/>
        <v>3.0671296296296835E-3</v>
      </c>
      <c r="AF28" s="33">
        <f t="shared" si="2"/>
        <v>6.4930555555555713E-3</v>
      </c>
    </row>
    <row r="29" spans="2:32" ht="15.6" x14ac:dyDescent="0.3">
      <c r="B29" s="8">
        <v>23</v>
      </c>
      <c r="C29" s="9">
        <v>0.38263888888888886</v>
      </c>
      <c r="D29" s="9">
        <f t="shared" si="3"/>
        <v>7.8703703703708605E-4</v>
      </c>
      <c r="E29" s="14" t="str">
        <f t="shared" si="8"/>
        <v/>
      </c>
      <c r="F29" s="10">
        <f t="shared" si="9"/>
        <v>3.310185185185166E-3</v>
      </c>
      <c r="G29" s="10">
        <f t="shared" si="18"/>
        <v>0.38263888888888886</v>
      </c>
      <c r="H29" s="10">
        <f t="shared" si="10"/>
        <v>7.6388888888889728E-4</v>
      </c>
      <c r="I29" s="10">
        <v>0.38340277777777776</v>
      </c>
      <c r="J29" s="14">
        <f t="shared" si="4"/>
        <v>1.4467592592593004E-3</v>
      </c>
      <c r="K29" s="14">
        <f t="shared" si="7"/>
        <v>6.2500000000004219E-4</v>
      </c>
      <c r="L29" s="9" t="str">
        <f t="shared" si="5"/>
        <v/>
      </c>
      <c r="M29" s="9">
        <f t="shared" si="6"/>
        <v>0.38484953703703706</v>
      </c>
      <c r="N29" s="9">
        <f t="shared" si="0"/>
        <v>1.3425925925925619E-3</v>
      </c>
      <c r="O29" s="9">
        <v>0.38619212962962962</v>
      </c>
      <c r="P29" s="7" t="s">
        <v>17</v>
      </c>
      <c r="Q29" s="14">
        <f t="shared" si="11"/>
        <v>6.5763888888888899E-2</v>
      </c>
      <c r="R29" s="48">
        <f>O31-O29</f>
        <v>3.2754629629629939E-3</v>
      </c>
      <c r="S29" s="16" t="str">
        <f>IF(V29&lt;O29,O29-V29,"")</f>
        <v/>
      </c>
      <c r="T29" s="10">
        <f>V26</f>
        <v>0.45195601851851852</v>
      </c>
      <c r="U29" s="10">
        <f>V29-T29</f>
        <v>2.4074074074074137E-3</v>
      </c>
      <c r="V29" s="10">
        <v>0.45436342592592593</v>
      </c>
      <c r="W29" s="17" t="s">
        <v>19</v>
      </c>
      <c r="X29" s="14"/>
      <c r="Y29" s="14"/>
      <c r="Z29" s="9"/>
      <c r="AA29" s="9"/>
      <c r="AB29" s="9"/>
      <c r="AC29" s="9"/>
      <c r="AD29" s="22">
        <f t="shared" si="12"/>
        <v>6.72106481481482E-2</v>
      </c>
      <c r="AE29" s="33">
        <f t="shared" si="1"/>
        <v>4.5138888888888729E-3</v>
      </c>
      <c r="AF29" s="33">
        <f t="shared" si="2"/>
        <v>7.1724537037037073E-2</v>
      </c>
    </row>
    <row r="30" spans="2:32" ht="15.6" x14ac:dyDescent="0.3">
      <c r="B30" s="8">
        <v>24</v>
      </c>
      <c r="C30" s="9">
        <v>0.38342592592592595</v>
      </c>
      <c r="D30" s="9">
        <f t="shared" si="3"/>
        <v>3.2407407407403221E-4</v>
      </c>
      <c r="E30" s="14" t="str">
        <f t="shared" si="8"/>
        <v/>
      </c>
      <c r="F30" s="10">
        <f t="shared" si="9"/>
        <v>2.3148148148188774E-5</v>
      </c>
      <c r="G30" s="10">
        <f t="shared" si="18"/>
        <v>0.38342592592592595</v>
      </c>
      <c r="H30" s="10">
        <f t="shared" si="10"/>
        <v>6.0185185185185341E-4</v>
      </c>
      <c r="I30" s="10">
        <v>0.3840277777777778</v>
      </c>
      <c r="J30" s="14">
        <f t="shared" si="4"/>
        <v>2.1643518518518201E-3</v>
      </c>
      <c r="K30" s="14">
        <f t="shared" si="7"/>
        <v>7.1759259259257524E-4</v>
      </c>
      <c r="L30" s="9" t="str">
        <f t="shared" si="5"/>
        <v/>
      </c>
      <c r="M30" s="9">
        <f t="shared" si="6"/>
        <v>0.38619212962962962</v>
      </c>
      <c r="N30" s="9">
        <f t="shared" si="0"/>
        <v>2.1180555555555536E-3</v>
      </c>
      <c r="O30" s="9">
        <v>0.38831018518518517</v>
      </c>
      <c r="P30" s="7" t="s">
        <v>18</v>
      </c>
      <c r="Q30" s="14"/>
      <c r="R30" s="48"/>
      <c r="S30" s="16"/>
      <c r="T30" s="10"/>
      <c r="U30" s="10"/>
      <c r="V30" s="10"/>
      <c r="W30" s="17"/>
      <c r="X30" s="14"/>
      <c r="Y30" s="14"/>
      <c r="Z30" s="9" t="s">
        <v>20</v>
      </c>
      <c r="AA30" s="9"/>
      <c r="AB30" s="9"/>
      <c r="AC30" s="9"/>
      <c r="AD30" s="22">
        <f t="shared" si="12"/>
        <v>2.1643518518518201E-3</v>
      </c>
      <c r="AE30" s="33">
        <f t="shared" si="1"/>
        <v>2.719907407407407E-3</v>
      </c>
      <c r="AF30" s="33">
        <f t="shared" si="2"/>
        <v>4.8842592592592271E-3</v>
      </c>
    </row>
    <row r="31" spans="2:32" ht="15.6" x14ac:dyDescent="0.3">
      <c r="B31" s="8">
        <v>25</v>
      </c>
      <c r="C31" s="9">
        <v>0.38374999999999998</v>
      </c>
      <c r="D31" s="9">
        <f t="shared" si="3"/>
        <v>1.3506944444444446E-2</v>
      </c>
      <c r="E31" s="14">
        <f t="shared" si="8"/>
        <v>2.777777777778212E-4</v>
      </c>
      <c r="F31" s="10" t="str">
        <f t="shared" si="9"/>
        <v/>
      </c>
      <c r="G31" s="10">
        <f t="shared" si="18"/>
        <v>0.3840277777777778</v>
      </c>
      <c r="H31" s="10">
        <f t="shared" si="10"/>
        <v>7.1759259259257524E-4</v>
      </c>
      <c r="I31" s="10">
        <v>0.38474537037037038</v>
      </c>
      <c r="J31" s="14">
        <f t="shared" si="4"/>
        <v>3.5648148148147984E-3</v>
      </c>
      <c r="K31" s="14">
        <f t="shared" si="7"/>
        <v>1.4074074074074072E-2</v>
      </c>
      <c r="L31" s="9" t="str">
        <f t="shared" si="5"/>
        <v/>
      </c>
      <c r="M31" s="9">
        <f t="shared" si="6"/>
        <v>0.38831018518518517</v>
      </c>
      <c r="N31" s="9">
        <f t="shared" si="0"/>
        <v>1.1574074074074403E-3</v>
      </c>
      <c r="O31" s="9">
        <v>0.38946759259259262</v>
      </c>
      <c r="P31" s="7" t="s">
        <v>17</v>
      </c>
      <c r="Q31" s="14">
        <f t="shared" ref="Q31:Q46" si="19">IF(T31&gt;O31,T31-O31,"")</f>
        <v>6.4895833333333319E-2</v>
      </c>
      <c r="R31" s="48">
        <f>O32-O31</f>
        <v>1.1018518518518483E-2</v>
      </c>
      <c r="S31" s="16" t="str">
        <f t="shared" ref="S31:S37" si="20">IF(V31&lt;O31,O31-V31,"")</f>
        <v/>
      </c>
      <c r="T31" s="10">
        <f>V29</f>
        <v>0.45436342592592593</v>
      </c>
      <c r="U31" s="10">
        <f t="shared" ref="U31:U37" si="21">V31-T31</f>
        <v>3.2638888888888995E-3</v>
      </c>
      <c r="V31" s="10">
        <v>0.45762731481481483</v>
      </c>
      <c r="W31" s="17" t="s">
        <v>19</v>
      </c>
      <c r="X31" s="14"/>
      <c r="Y31" s="14"/>
      <c r="Z31" s="9"/>
      <c r="AA31" s="9"/>
      <c r="AB31" s="9"/>
      <c r="AC31" s="9"/>
      <c r="AD31" s="22">
        <f t="shared" si="12"/>
        <v>6.8738425925925939E-2</v>
      </c>
      <c r="AE31" s="33">
        <f t="shared" si="1"/>
        <v>5.138888888888915E-3</v>
      </c>
      <c r="AF31" s="33">
        <f t="shared" si="2"/>
        <v>7.3877314814814854E-2</v>
      </c>
    </row>
    <row r="32" spans="2:32" ht="15.6" x14ac:dyDescent="0.3">
      <c r="B32" s="8">
        <v>26</v>
      </c>
      <c r="C32" s="9">
        <v>0.39725694444444443</v>
      </c>
      <c r="D32" s="9">
        <f t="shared" si="3"/>
        <v>5.0347222222222321E-3</v>
      </c>
      <c r="E32" s="14" t="str">
        <f>IF(G32&gt;C32,G32-C32,"")</f>
        <v/>
      </c>
      <c r="F32" s="10">
        <f>IF(G32&gt;I31,G32-I31,"")</f>
        <v>1.251157407407405E-2</v>
      </c>
      <c r="G32" s="10">
        <f>IF(C32&gt;I31,C32,I31)</f>
        <v>0.39725694444444443</v>
      </c>
      <c r="H32" s="10">
        <f t="shared" si="10"/>
        <v>1.5625000000000222E-3</v>
      </c>
      <c r="I32" s="10">
        <v>0.39881944444444445</v>
      </c>
      <c r="J32" s="14" t="str">
        <f t="shared" si="4"/>
        <v/>
      </c>
      <c r="K32" s="14">
        <f t="shared" si="7"/>
        <v>4.3402777777777901E-3</v>
      </c>
      <c r="L32" s="9">
        <f t="shared" si="5"/>
        <v>9.3518518518518334E-3</v>
      </c>
      <c r="M32" s="9">
        <f t="shared" si="6"/>
        <v>0.39881944444444445</v>
      </c>
      <c r="N32" s="9">
        <f t="shared" si="0"/>
        <v>1.6666666666666496E-3</v>
      </c>
      <c r="O32" s="9">
        <v>0.4004861111111111</v>
      </c>
      <c r="P32" s="7" t="s">
        <v>17</v>
      </c>
      <c r="Q32" s="14">
        <f t="shared" si="19"/>
        <v>5.7141203703703736E-2</v>
      </c>
      <c r="R32" s="48">
        <f t="shared" ref="R32:R36" si="22">O33-O32</f>
        <v>3.7384259259259367E-3</v>
      </c>
      <c r="S32" s="16" t="str">
        <f t="shared" si="20"/>
        <v/>
      </c>
      <c r="T32" s="10">
        <f t="shared" ref="T32:T37" si="23">IF(V31&gt;O32,V31,O32)</f>
        <v>0.45762731481481483</v>
      </c>
      <c r="U32" s="10">
        <f t="shared" si="21"/>
        <v>7.766203703703678E-3</v>
      </c>
      <c r="V32" s="10">
        <v>0.46539351851851851</v>
      </c>
      <c r="W32" s="17" t="s">
        <v>7</v>
      </c>
      <c r="X32" s="14"/>
      <c r="Y32" s="14">
        <f>V33-V32</f>
        <v>8.0902777777777657E-3</v>
      </c>
      <c r="Z32" s="9">
        <f>AA32-AC26</f>
        <v>1.222222222222219E-2</v>
      </c>
      <c r="AA32" s="9">
        <f>V32</f>
        <v>0.46539351851851851</v>
      </c>
      <c r="AB32" s="9">
        <v>4.9189814814814548E-3</v>
      </c>
      <c r="AC32" s="9">
        <f>AA32+AB32</f>
        <v>0.47031249999999997</v>
      </c>
      <c r="AD32" s="22">
        <f t="shared" si="12"/>
        <v>5.7141203703703736E-2</v>
      </c>
      <c r="AE32" s="33">
        <f t="shared" si="1"/>
        <v>1.5914351851851805E-2</v>
      </c>
      <c r="AF32" s="33">
        <f t="shared" si="2"/>
        <v>7.305555555555554E-2</v>
      </c>
    </row>
    <row r="33" spans="2:32" ht="15.6" x14ac:dyDescent="0.3">
      <c r="B33" s="8">
        <v>27</v>
      </c>
      <c r="C33" s="9">
        <v>0.40229166666666666</v>
      </c>
      <c r="D33" s="9">
        <f t="shared" si="3"/>
        <v>3.2638888888888995E-3</v>
      </c>
      <c r="E33" s="14" t="str">
        <f>IF(G33&gt;C33,G33-C33,"")</f>
        <v/>
      </c>
      <c r="F33" s="10">
        <f>IF(G33&gt;I32,G33-I32,"")</f>
        <v>3.4722222222222099E-3</v>
      </c>
      <c r="G33" s="10">
        <f>IF(C33&gt;I32,C33,I32)</f>
        <v>0.40229166666666666</v>
      </c>
      <c r="H33" s="10">
        <f t="shared" si="10"/>
        <v>8.6805555555558023E-4</v>
      </c>
      <c r="I33" s="10">
        <v>0.40315972222222224</v>
      </c>
      <c r="J33" s="14" t="str">
        <f t="shared" si="4"/>
        <v/>
      </c>
      <c r="K33" s="14">
        <f t="shared" si="7"/>
        <v>3.0902777777777612E-3</v>
      </c>
      <c r="L33" s="9">
        <f t="shared" si="5"/>
        <v>2.6736111111111405E-3</v>
      </c>
      <c r="M33" s="9">
        <f t="shared" si="6"/>
        <v>0.40315972222222224</v>
      </c>
      <c r="N33" s="9">
        <f t="shared" si="0"/>
        <v>1.0648148148147962E-3</v>
      </c>
      <c r="O33" s="9">
        <v>0.40422453703703703</v>
      </c>
      <c r="P33" s="7" t="s">
        <v>17</v>
      </c>
      <c r="Q33" s="14">
        <f t="shared" si="19"/>
        <v>6.1168981481481477E-2</v>
      </c>
      <c r="R33" s="48">
        <f t="shared" si="22"/>
        <v>4.1782407407407463E-3</v>
      </c>
      <c r="S33" s="16" t="str">
        <f t="shared" si="20"/>
        <v/>
      </c>
      <c r="T33" s="10">
        <f t="shared" si="23"/>
        <v>0.46539351851851851</v>
      </c>
      <c r="U33" s="10">
        <f t="shared" si="21"/>
        <v>8.0902777777777657E-3</v>
      </c>
      <c r="V33" s="10">
        <v>0.47348379629629628</v>
      </c>
      <c r="W33" s="17" t="s">
        <v>7</v>
      </c>
      <c r="X33" s="14"/>
      <c r="Y33" s="14">
        <f t="shared" ref="Y33:Y35" si="24">V34-V33</f>
        <v>7.0833333333333304E-3</v>
      </c>
      <c r="Z33" s="9">
        <f>AA33-AC32</f>
        <v>3.1712962962963109E-3</v>
      </c>
      <c r="AA33" s="9">
        <f>V33</f>
        <v>0.47348379629629628</v>
      </c>
      <c r="AB33" s="9">
        <v>2.3495370370370371E-3</v>
      </c>
      <c r="AC33" s="9">
        <f>AA33+AB33</f>
        <v>0.47583333333333333</v>
      </c>
      <c r="AD33" s="22">
        <f t="shared" si="12"/>
        <v>6.1168981481481477E-2</v>
      </c>
      <c r="AE33" s="33">
        <f t="shared" si="1"/>
        <v>1.2372685185185179E-2</v>
      </c>
      <c r="AF33" s="33">
        <f t="shared" si="2"/>
        <v>7.3541666666666658E-2</v>
      </c>
    </row>
    <row r="34" spans="2:32" ht="15.6" x14ac:dyDescent="0.3">
      <c r="B34" s="8">
        <v>28</v>
      </c>
      <c r="C34" s="9">
        <v>0.40555555555555556</v>
      </c>
      <c r="D34" s="9">
        <f>C35-C34</f>
        <v>2.5462962962963243E-4</v>
      </c>
      <c r="E34" s="14" t="str">
        <f>IF(G34&gt;C34,G34-C34,"")</f>
        <v/>
      </c>
      <c r="F34" s="10">
        <f>IF(G34&gt;I33,G34-I33,"")</f>
        <v>2.3958333333333193E-3</v>
      </c>
      <c r="G34" s="10">
        <f>IF(C34&gt;I33,C34,I33)</f>
        <v>0.40555555555555556</v>
      </c>
      <c r="H34" s="10">
        <f t="shared" si="10"/>
        <v>6.9444444444444198E-4</v>
      </c>
      <c r="I34" s="10">
        <v>0.40625</v>
      </c>
      <c r="J34" s="14" t="str">
        <f t="shared" si="4"/>
        <v/>
      </c>
      <c r="K34" s="14">
        <f t="shared" si="7"/>
        <v>8.5648148148148584E-4</v>
      </c>
      <c r="L34" s="9">
        <f t="shared" si="5"/>
        <v>2.025462962962965E-3</v>
      </c>
      <c r="M34" s="9">
        <f t="shared" si="6"/>
        <v>0.40625</v>
      </c>
      <c r="N34" s="9">
        <f t="shared" si="0"/>
        <v>2.1527777777777812E-3</v>
      </c>
      <c r="O34" s="9">
        <v>0.40840277777777778</v>
      </c>
      <c r="P34" s="7" t="s">
        <v>17</v>
      </c>
      <c r="Q34" s="14">
        <f t="shared" si="19"/>
        <v>6.5081018518518496E-2</v>
      </c>
      <c r="R34" s="48">
        <f t="shared" si="22"/>
        <v>1.4583333333333393E-3</v>
      </c>
      <c r="S34" s="16" t="str">
        <f t="shared" si="20"/>
        <v/>
      </c>
      <c r="T34" s="10">
        <f t="shared" si="23"/>
        <v>0.47348379629629628</v>
      </c>
      <c r="U34" s="10">
        <f t="shared" si="21"/>
        <v>7.0833333333333304E-3</v>
      </c>
      <c r="V34" s="10">
        <v>0.48056712962962961</v>
      </c>
      <c r="W34" s="17" t="s">
        <v>7</v>
      </c>
      <c r="X34" s="14"/>
      <c r="Y34" s="14">
        <f t="shared" si="24"/>
        <v>5.0115740740740988E-3</v>
      </c>
      <c r="Z34" s="9">
        <f>AA34-AC33</f>
        <v>4.7337962962962776E-3</v>
      </c>
      <c r="AA34" s="9">
        <f>V34</f>
        <v>0.48056712962962961</v>
      </c>
      <c r="AB34" s="9">
        <v>4.5138888888888173E-3</v>
      </c>
      <c r="AC34" s="9">
        <f>AA34+AB34</f>
        <v>0.48508101851851843</v>
      </c>
      <c r="AD34" s="22">
        <f t="shared" si="12"/>
        <v>6.5081018518518496E-2</v>
      </c>
      <c r="AE34" s="33">
        <f t="shared" si="1"/>
        <v>1.4444444444444371E-2</v>
      </c>
      <c r="AF34" s="33">
        <f t="shared" si="2"/>
        <v>7.9525462962962867E-2</v>
      </c>
    </row>
    <row r="35" spans="2:32" ht="15.6" x14ac:dyDescent="0.3">
      <c r="B35" s="8">
        <v>29</v>
      </c>
      <c r="C35" s="9">
        <v>0.40581018518518519</v>
      </c>
      <c r="D35" s="9">
        <f>C36-C35</f>
        <v>1.1689814814814792E-3</v>
      </c>
      <c r="E35" s="14">
        <f>IF(G35&gt;C35,G35-C35,"")</f>
        <v>4.3981481481480955E-4</v>
      </c>
      <c r="F35" s="10" t="str">
        <f>IF(G35&gt;I34,G35-I34,"")</f>
        <v/>
      </c>
      <c r="G35" s="10">
        <f>IF(C35&gt;I34,C35,I34)</f>
        <v>0.40625</v>
      </c>
      <c r="H35" s="10">
        <f>I35-G35</f>
        <v>8.5648148148148584E-4</v>
      </c>
      <c r="I35" s="10">
        <v>0.40710648148148149</v>
      </c>
      <c r="J35" s="14">
        <f t="shared" si="4"/>
        <v>1.2962962962962954E-3</v>
      </c>
      <c r="K35" s="14">
        <f t="shared" si="7"/>
        <v>1.2962962962962954E-3</v>
      </c>
      <c r="L35" s="9" t="str">
        <f t="shared" si="5"/>
        <v/>
      </c>
      <c r="M35" s="9">
        <f t="shared" si="6"/>
        <v>0.40840277777777778</v>
      </c>
      <c r="N35" s="9">
        <f t="shared" si="0"/>
        <v>1.4583333333333393E-3</v>
      </c>
      <c r="O35" s="9">
        <v>0.40986111111111112</v>
      </c>
      <c r="P35" s="7" t="s">
        <v>17</v>
      </c>
      <c r="Q35" s="14">
        <f t="shared" si="19"/>
        <v>7.0706018518518488E-2</v>
      </c>
      <c r="R35" s="48">
        <f t="shared" si="22"/>
        <v>1.2152777777777457E-3</v>
      </c>
      <c r="S35" s="16" t="str">
        <f t="shared" si="20"/>
        <v/>
      </c>
      <c r="T35" s="10">
        <f t="shared" si="23"/>
        <v>0.48056712962962961</v>
      </c>
      <c r="U35" s="10">
        <f t="shared" si="21"/>
        <v>5.0115740740740988E-3</v>
      </c>
      <c r="V35" s="10">
        <v>0.48557870370370371</v>
      </c>
      <c r="W35" s="17" t="s">
        <v>7</v>
      </c>
      <c r="X35" s="14"/>
      <c r="Y35" s="14">
        <f t="shared" si="24"/>
        <v>5.5787037037037246E-3</v>
      </c>
      <c r="Z35" s="9">
        <f>AA35-AC34</f>
        <v>4.9768518518528149E-4</v>
      </c>
      <c r="AA35" s="9">
        <f>V35</f>
        <v>0.48557870370370371</v>
      </c>
      <c r="AB35" s="9">
        <v>3.2060185185185386E-3</v>
      </c>
      <c r="AC35" s="9">
        <f>AA35+AB35</f>
        <v>0.48878472222222225</v>
      </c>
      <c r="AD35" s="22">
        <f t="shared" si="12"/>
        <v>7.2442129629629592E-2</v>
      </c>
      <c r="AE35" s="33">
        <f t="shared" si="1"/>
        <v>1.0532407407407463E-2</v>
      </c>
      <c r="AF35" s="33">
        <f t="shared" si="2"/>
        <v>8.2974537037037055E-2</v>
      </c>
    </row>
    <row r="36" spans="2:32" ht="15.6" x14ac:dyDescent="0.3">
      <c r="B36" s="8">
        <v>30</v>
      </c>
      <c r="C36" s="9">
        <v>0.40697916666666667</v>
      </c>
      <c r="D36" s="9">
        <f t="shared" ref="D36:D43" si="25">C37-C36</f>
        <v>2.9745370370370394E-3</v>
      </c>
      <c r="E36" s="14">
        <f t="shared" ref="E36:E44" si="26">IF(G36&gt;C36,G36-C36,"")</f>
        <v>1.2731481481481621E-4</v>
      </c>
      <c r="F36" s="10" t="str">
        <f t="shared" ref="F36:F44" si="27">IF(G36&gt;I35,G36-I35,"")</f>
        <v/>
      </c>
      <c r="G36" s="10">
        <f t="shared" ref="G36:G44" si="28">IF(C36&gt;I35,C36,I35)</f>
        <v>0.40710648148148149</v>
      </c>
      <c r="H36" s="10">
        <f t="shared" si="10"/>
        <v>1.2962962962962954E-3</v>
      </c>
      <c r="I36" s="10">
        <v>0.40840277777777778</v>
      </c>
      <c r="J36" s="14">
        <f t="shared" si="4"/>
        <v>1.4583333333333393E-3</v>
      </c>
      <c r="K36" s="14">
        <f t="shared" si="7"/>
        <v>2.7083333333333126E-3</v>
      </c>
      <c r="L36" s="9" t="str">
        <f t="shared" si="5"/>
        <v/>
      </c>
      <c r="M36" s="9">
        <f t="shared" si="6"/>
        <v>0.40986111111111112</v>
      </c>
      <c r="N36" s="9">
        <f t="shared" si="0"/>
        <v>1.2152777777777457E-3</v>
      </c>
      <c r="O36" s="9">
        <v>0.41107638888888887</v>
      </c>
      <c r="P36" s="7" t="s">
        <v>17</v>
      </c>
      <c r="Q36" s="14">
        <f t="shared" si="19"/>
        <v>7.4502314814814841E-2</v>
      </c>
      <c r="R36" s="48">
        <f t="shared" si="22"/>
        <v>1.5277777777777946E-3</v>
      </c>
      <c r="S36" s="16" t="str">
        <f t="shared" si="20"/>
        <v/>
      </c>
      <c r="T36" s="10">
        <f t="shared" si="23"/>
        <v>0.48557870370370371</v>
      </c>
      <c r="U36" s="10">
        <f t="shared" si="21"/>
        <v>5.5787037037037246E-3</v>
      </c>
      <c r="V36" s="10">
        <v>0.49115740740740743</v>
      </c>
      <c r="W36" s="17" t="s">
        <v>7</v>
      </c>
      <c r="X36" s="14"/>
      <c r="Y36" s="14">
        <f>V39-V36</f>
        <v>1.0023148148148087E-2</v>
      </c>
      <c r="Z36" s="9">
        <f>AA36-AC35</f>
        <v>2.372685185185186E-3</v>
      </c>
      <c r="AA36" s="9">
        <f>V36</f>
        <v>0.49115740740740743</v>
      </c>
      <c r="AB36" s="9">
        <v>2.2685185185185031E-3</v>
      </c>
      <c r="AC36" s="9">
        <f>AA36+AB36</f>
        <v>0.49342592592592593</v>
      </c>
      <c r="AD36" s="22">
        <f t="shared" si="12"/>
        <v>7.6087962962962996E-2</v>
      </c>
      <c r="AE36" s="33">
        <f t="shared" si="1"/>
        <v>1.0358796296296269E-2</v>
      </c>
      <c r="AF36" s="33">
        <f t="shared" si="2"/>
        <v>8.6446759259259265E-2</v>
      </c>
    </row>
    <row r="37" spans="2:32" ht="15.6" x14ac:dyDescent="0.3">
      <c r="B37" s="8">
        <v>31</v>
      </c>
      <c r="C37" s="9">
        <v>0.40995370370370371</v>
      </c>
      <c r="D37" s="9">
        <f t="shared" si="25"/>
        <v>5.6712962962962576E-4</v>
      </c>
      <c r="E37" s="14" t="str">
        <f t="shared" si="26"/>
        <v/>
      </c>
      <c r="F37" s="10">
        <f t="shared" si="27"/>
        <v>1.5509259259259278E-3</v>
      </c>
      <c r="G37" s="10">
        <f t="shared" si="28"/>
        <v>0.40995370370370371</v>
      </c>
      <c r="H37" s="10">
        <f t="shared" si="10"/>
        <v>1.1574074074073848E-3</v>
      </c>
      <c r="I37" s="10">
        <v>0.41111111111111109</v>
      </c>
      <c r="J37" s="14" t="str">
        <f t="shared" si="4"/>
        <v/>
      </c>
      <c r="K37" s="14">
        <f t="shared" si="7"/>
        <v>1.782407407407427E-3</v>
      </c>
      <c r="L37" s="9">
        <f t="shared" si="5"/>
        <v>3.472222222222765E-5</v>
      </c>
      <c r="M37" s="9">
        <f t="shared" si="6"/>
        <v>0.41111111111111109</v>
      </c>
      <c r="N37" s="9">
        <f t="shared" si="0"/>
        <v>1.4930555555555669E-3</v>
      </c>
      <c r="O37" s="9">
        <v>0.41260416666666666</v>
      </c>
      <c r="P37" s="7" t="s">
        <v>17</v>
      </c>
      <c r="Q37" s="14">
        <f t="shared" si="19"/>
        <v>7.8553240740740771E-2</v>
      </c>
      <c r="R37" s="48">
        <f>O39-O37</f>
        <v>2.615740740740724E-3</v>
      </c>
      <c r="S37" s="16" t="str">
        <f t="shared" si="20"/>
        <v/>
      </c>
      <c r="T37" s="10">
        <f t="shared" si="23"/>
        <v>0.49115740740740743</v>
      </c>
      <c r="U37" s="10">
        <f t="shared" si="21"/>
        <v>4.9999999999999489E-3</v>
      </c>
      <c r="V37" s="10">
        <v>0.49615740740740738</v>
      </c>
      <c r="W37" s="17" t="s">
        <v>19</v>
      </c>
      <c r="X37" s="14"/>
      <c r="Y37" s="14"/>
      <c r="Z37" s="9"/>
      <c r="AA37" s="9"/>
      <c r="AB37" s="9"/>
      <c r="AC37" s="9"/>
      <c r="AD37" s="22">
        <f t="shared" si="12"/>
        <v>7.8553240740740771E-2</v>
      </c>
      <c r="AE37" s="33">
        <f t="shared" si="1"/>
        <v>7.6504629629629006E-3</v>
      </c>
      <c r="AF37" s="33">
        <f t="shared" si="2"/>
        <v>8.6203703703703671E-2</v>
      </c>
    </row>
    <row r="38" spans="2:32" ht="15.6" x14ac:dyDescent="0.3">
      <c r="B38" s="8">
        <v>32</v>
      </c>
      <c r="C38" s="9">
        <v>0.41052083333333333</v>
      </c>
      <c r="D38" s="9">
        <f t="shared" si="25"/>
        <v>2.0717592592592315E-3</v>
      </c>
      <c r="E38" s="14">
        <f t="shared" si="26"/>
        <v>5.9027777777775903E-4</v>
      </c>
      <c r="F38" s="10" t="str">
        <f t="shared" si="27"/>
        <v/>
      </c>
      <c r="G38" s="10">
        <f t="shared" si="28"/>
        <v>0.41111111111111109</v>
      </c>
      <c r="H38" s="10">
        <f t="shared" si="10"/>
        <v>1.782407407407427E-3</v>
      </c>
      <c r="I38" s="10">
        <v>0.41289351851851852</v>
      </c>
      <c r="J38" s="14" t="str">
        <f t="shared" si="4"/>
        <v/>
      </c>
      <c r="K38" s="14">
        <f t="shared" si="7"/>
        <v>9.9537037037034093E-4</v>
      </c>
      <c r="L38" s="9">
        <f t="shared" si="5"/>
        <v>2.8935185185186008E-4</v>
      </c>
      <c r="M38" s="9">
        <f t="shared" si="6"/>
        <v>0.41289351851851852</v>
      </c>
      <c r="N38" s="9">
        <f t="shared" si="0"/>
        <v>1.4930555555555669E-3</v>
      </c>
      <c r="O38" s="9">
        <v>0.41438657407407409</v>
      </c>
      <c r="P38" s="7" t="s">
        <v>18</v>
      </c>
      <c r="Q38" s="14" t="str">
        <f t="shared" si="19"/>
        <v/>
      </c>
      <c r="R38" s="48"/>
      <c r="S38" s="16"/>
      <c r="T38" s="10"/>
      <c r="U38" s="10"/>
      <c r="V38" s="10"/>
      <c r="W38" s="17"/>
      <c r="X38" s="14"/>
      <c r="Y38" s="14"/>
      <c r="Z38" s="9" t="s">
        <v>20</v>
      </c>
      <c r="AA38" s="9"/>
      <c r="AB38" s="9"/>
      <c r="AC38" s="9"/>
      <c r="AD38" s="22">
        <f t="shared" si="12"/>
        <v>5.9027777777775903E-4</v>
      </c>
      <c r="AE38" s="33">
        <f t="shared" si="1"/>
        <v>3.2754629629629939E-3</v>
      </c>
      <c r="AF38" s="33">
        <f t="shared" si="2"/>
        <v>3.8657407407407529E-3</v>
      </c>
    </row>
    <row r="39" spans="2:32" ht="15.6" x14ac:dyDescent="0.3">
      <c r="B39" s="8">
        <v>33</v>
      </c>
      <c r="C39" s="9">
        <v>0.41259259259259257</v>
      </c>
      <c r="D39" s="9">
        <f t="shared" si="25"/>
        <v>0</v>
      </c>
      <c r="E39" s="14">
        <f t="shared" si="26"/>
        <v>3.0092592592595446E-4</v>
      </c>
      <c r="F39" s="10" t="str">
        <f t="shared" si="27"/>
        <v/>
      </c>
      <c r="G39" s="10">
        <f t="shared" si="28"/>
        <v>0.41289351851851852</v>
      </c>
      <c r="H39" s="10">
        <f t="shared" si="10"/>
        <v>9.9537037037034093E-4</v>
      </c>
      <c r="I39" s="10">
        <v>0.41388888888888886</v>
      </c>
      <c r="J39" s="14">
        <f t="shared" si="4"/>
        <v>4.9768518518522598E-4</v>
      </c>
      <c r="K39" s="14">
        <f t="shared" si="7"/>
        <v>6.9444444444449749E-4</v>
      </c>
      <c r="L39" s="9" t="str">
        <f t="shared" si="5"/>
        <v/>
      </c>
      <c r="M39" s="9">
        <f t="shared" si="6"/>
        <v>0.41438657407407409</v>
      </c>
      <c r="N39" s="9">
        <f t="shared" si="0"/>
        <v>8.3333333333329707E-4</v>
      </c>
      <c r="O39" s="9">
        <v>0.41521990740740738</v>
      </c>
      <c r="P39" s="7" t="s">
        <v>17</v>
      </c>
      <c r="Q39" s="14">
        <f t="shared" si="19"/>
        <v>8.0937499999999996E-2</v>
      </c>
      <c r="R39" s="48">
        <f>O40-O39</f>
        <v>2.2569444444444642E-3</v>
      </c>
      <c r="S39" s="16" t="str">
        <f t="shared" ref="S39:S46" si="29">IF(V39&lt;O39,O39-V39,"")</f>
        <v/>
      </c>
      <c r="T39" s="10">
        <f>V37</f>
        <v>0.49615740740740738</v>
      </c>
      <c r="U39" s="10">
        <f t="shared" ref="U39:U46" si="30">V39-T39</f>
        <v>5.0231481481481377E-3</v>
      </c>
      <c r="V39" s="10">
        <v>0.50118055555555552</v>
      </c>
      <c r="W39" s="17" t="s">
        <v>7</v>
      </c>
      <c r="X39" s="14"/>
      <c r="Y39" s="14">
        <f>V41-V39</f>
        <v>7.511574074074101E-3</v>
      </c>
      <c r="Z39" s="9">
        <v>2.1990740740740478E-3</v>
      </c>
      <c r="AA39" s="9">
        <f>V39</f>
        <v>0.50118055555555552</v>
      </c>
      <c r="AB39" s="9">
        <v>5.2777777777778256E-3</v>
      </c>
      <c r="AC39" s="9">
        <f>AA39+AB39</f>
        <v>0.50645833333333334</v>
      </c>
      <c r="AD39" s="22">
        <f t="shared" si="12"/>
        <v>8.1736111111111176E-2</v>
      </c>
      <c r="AE39" s="33">
        <f t="shared" si="1"/>
        <v>1.2129629629629601E-2</v>
      </c>
      <c r="AF39" s="33">
        <f t="shared" si="2"/>
        <v>9.3865740740740777E-2</v>
      </c>
    </row>
    <row r="40" spans="2:32" ht="15.6" x14ac:dyDescent="0.3">
      <c r="B40" s="8">
        <v>34</v>
      </c>
      <c r="C40" s="9">
        <v>0.41259259259259257</v>
      </c>
      <c r="D40" s="9">
        <f>C41-C40</f>
        <v>3.5185185185185319E-3</v>
      </c>
      <c r="E40" s="14">
        <f>IF(G40&gt;C40,G40-C40,"")</f>
        <v>1.2962962962962954E-3</v>
      </c>
      <c r="F40" s="10" t="str">
        <f>IF(G40&gt;I39,G40-I39,"")</f>
        <v/>
      </c>
      <c r="G40" s="10">
        <f>IF(C40&gt;I39,C40,I39)</f>
        <v>0.41388888888888886</v>
      </c>
      <c r="H40" s="10">
        <f>I40-G40</f>
        <v>6.9444444444449749E-4</v>
      </c>
      <c r="I40" s="10">
        <v>0.41458333333333336</v>
      </c>
      <c r="J40" s="14">
        <f t="shared" si="4"/>
        <v>6.3657407407402555E-4</v>
      </c>
      <c r="K40" s="14">
        <f t="shared" si="7"/>
        <v>2.8124999999999956E-3</v>
      </c>
      <c r="L40" s="9" t="str">
        <f t="shared" si="5"/>
        <v/>
      </c>
      <c r="M40" s="9">
        <f t="shared" si="6"/>
        <v>0.41521990740740738</v>
      </c>
      <c r="N40" s="9">
        <f t="shared" si="0"/>
        <v>2.2569444444444642E-3</v>
      </c>
      <c r="O40" s="9">
        <v>0.41747685185185185</v>
      </c>
      <c r="P40" s="7" t="s">
        <v>17</v>
      </c>
      <c r="Q40" s="14">
        <f t="shared" si="19"/>
        <v>8.3703703703703669E-2</v>
      </c>
      <c r="R40" s="48">
        <f t="shared" ref="R40:R45" si="31">O41-O40</f>
        <v>1.9675925925926041E-3</v>
      </c>
      <c r="S40" s="16" t="str">
        <f t="shared" si="29"/>
        <v/>
      </c>
      <c r="T40" s="10">
        <f t="shared" ref="T40:T46" si="32">IF(V39&gt;O40,V39,O40)</f>
        <v>0.50118055555555552</v>
      </c>
      <c r="U40" s="10">
        <f t="shared" si="30"/>
        <v>3.4259259259259434E-3</v>
      </c>
      <c r="V40" s="10">
        <v>0.50460648148148146</v>
      </c>
      <c r="W40" s="17" t="s">
        <v>19</v>
      </c>
      <c r="X40" s="14"/>
      <c r="Y40" s="14"/>
      <c r="Z40" s="9"/>
      <c r="AA40" s="9"/>
      <c r="AB40" s="9"/>
      <c r="AC40" s="9"/>
      <c r="AD40" s="22">
        <f t="shared" si="12"/>
        <v>8.563657407407399E-2</v>
      </c>
      <c r="AE40" s="33">
        <f t="shared" si="1"/>
        <v>6.377314814814905E-3</v>
      </c>
      <c r="AF40" s="33">
        <f t="shared" si="2"/>
        <v>9.2013888888888895E-2</v>
      </c>
    </row>
    <row r="41" spans="2:32" ht="15.6" x14ac:dyDescent="0.3">
      <c r="B41" s="8">
        <v>35</v>
      </c>
      <c r="C41" s="9">
        <v>0.4161111111111111</v>
      </c>
      <c r="D41" s="9">
        <f>C42-C41</f>
        <v>6.2268518518518445E-3</v>
      </c>
      <c r="E41" s="14" t="str">
        <f>IF(G41&gt;C41,G41-C41,"")</f>
        <v/>
      </c>
      <c r="F41" s="10">
        <f>IF(G41&gt;I40,G41-I40,"")</f>
        <v>1.527777777777739E-3</v>
      </c>
      <c r="G41" s="10">
        <f>IF(C41&gt;I40,C41,I40)</f>
        <v>0.4161111111111111</v>
      </c>
      <c r="H41" s="10">
        <f>I41-G41</f>
        <v>1.2847222222222565E-3</v>
      </c>
      <c r="I41" s="10">
        <v>0.41739583333333335</v>
      </c>
      <c r="J41" s="14">
        <f t="shared" si="4"/>
        <v>8.1018518518494176E-5</v>
      </c>
      <c r="K41" s="14">
        <f t="shared" si="7"/>
        <v>6.3194444444444331E-3</v>
      </c>
      <c r="L41" s="9" t="str">
        <f t="shared" si="5"/>
        <v/>
      </c>
      <c r="M41" s="9">
        <f t="shared" si="6"/>
        <v>0.41747685185185185</v>
      </c>
      <c r="N41" s="9">
        <f t="shared" si="0"/>
        <v>1.9675925925926041E-3</v>
      </c>
      <c r="O41" s="9">
        <v>0.41944444444444445</v>
      </c>
      <c r="P41" s="7" t="s">
        <v>17</v>
      </c>
      <c r="Q41" s="14">
        <f t="shared" si="19"/>
        <v>8.5162037037037008E-2</v>
      </c>
      <c r="R41" s="48">
        <f t="shared" si="31"/>
        <v>6.2037037037037113E-3</v>
      </c>
      <c r="S41" s="16" t="str">
        <f t="shared" si="29"/>
        <v/>
      </c>
      <c r="T41" s="10">
        <f t="shared" si="32"/>
        <v>0.50460648148148146</v>
      </c>
      <c r="U41" s="10">
        <f t="shared" si="30"/>
        <v>4.0856481481481577E-3</v>
      </c>
      <c r="V41" s="10">
        <v>0.50869212962962962</v>
      </c>
      <c r="W41" s="17" t="s">
        <v>7</v>
      </c>
      <c r="X41" s="14"/>
      <c r="Y41" s="14">
        <f>V42-V41</f>
        <v>4.2013888888888795E-3</v>
      </c>
      <c r="Z41" s="9">
        <f>AA41-AC39</f>
        <v>2.2337962962962754E-3</v>
      </c>
      <c r="AA41" s="9">
        <f>V41</f>
        <v>0.50869212962962962</v>
      </c>
      <c r="AB41" s="9">
        <v>1.5856481481481E-3</v>
      </c>
      <c r="AC41" s="9">
        <f t="shared" ref="AC41:AC46" si="33">AA41+AB41</f>
        <v>0.51027777777777772</v>
      </c>
      <c r="AD41" s="22">
        <f t="shared" si="12"/>
        <v>8.5243055555555503E-2</v>
      </c>
      <c r="AE41" s="33">
        <f t="shared" si="1"/>
        <v>8.9236111111111183E-3</v>
      </c>
      <c r="AF41" s="33">
        <f t="shared" si="2"/>
        <v>9.4166666666666621E-2</v>
      </c>
    </row>
    <row r="42" spans="2:32" ht="15.6" x14ac:dyDescent="0.3">
      <c r="B42" s="8">
        <v>36</v>
      </c>
      <c r="C42" s="9">
        <v>0.42233796296296294</v>
      </c>
      <c r="D42" s="9">
        <f t="shared" si="25"/>
        <v>5.5787037037037246E-3</v>
      </c>
      <c r="E42" s="14" t="str">
        <f t="shared" si="26"/>
        <v/>
      </c>
      <c r="F42" s="10">
        <f t="shared" si="27"/>
        <v>4.942129629629588E-3</v>
      </c>
      <c r="G42" s="10">
        <f t="shared" si="28"/>
        <v>0.42233796296296294</v>
      </c>
      <c r="H42" s="10">
        <f t="shared" si="10"/>
        <v>1.3773148148148451E-3</v>
      </c>
      <c r="I42" s="10">
        <v>0.42371527777777779</v>
      </c>
      <c r="J42" s="14" t="str">
        <f t="shared" si="4"/>
        <v/>
      </c>
      <c r="K42" s="14">
        <f t="shared" si="7"/>
        <v>5.4976851851851749E-3</v>
      </c>
      <c r="L42" s="9">
        <f t="shared" si="5"/>
        <v>4.2708333333333348E-3</v>
      </c>
      <c r="M42" s="9">
        <f t="shared" si="6"/>
        <v>0.42371527777777779</v>
      </c>
      <c r="N42" s="9">
        <f t="shared" si="0"/>
        <v>1.9328703703703765E-3</v>
      </c>
      <c r="O42" s="9">
        <v>0.42564814814814816</v>
      </c>
      <c r="P42" s="7" t="s">
        <v>17</v>
      </c>
      <c r="Q42" s="14">
        <f t="shared" si="19"/>
        <v>8.3043981481481455E-2</v>
      </c>
      <c r="R42" s="48">
        <f t="shared" si="31"/>
        <v>5.0694444444444042E-3</v>
      </c>
      <c r="S42" s="16" t="str">
        <f t="shared" si="29"/>
        <v/>
      </c>
      <c r="T42" s="10">
        <f t="shared" si="32"/>
        <v>0.50869212962962962</v>
      </c>
      <c r="U42" s="10">
        <f t="shared" si="30"/>
        <v>4.2013888888888795E-3</v>
      </c>
      <c r="V42" s="10">
        <v>0.5128935185185185</v>
      </c>
      <c r="W42" s="17" t="s">
        <v>7</v>
      </c>
      <c r="X42" s="14"/>
      <c r="Y42" s="14">
        <f t="shared" ref="Y42:Y45" si="34">V43-V42</f>
        <v>4.0393518518518912E-3</v>
      </c>
      <c r="Z42" s="9">
        <f>AA42-AC41</f>
        <v>2.6157407407407796E-3</v>
      </c>
      <c r="AA42" s="9">
        <f>V42</f>
        <v>0.5128935185185185</v>
      </c>
      <c r="AB42" s="9">
        <v>6.6898148148147873E-3</v>
      </c>
      <c r="AC42" s="9">
        <f t="shared" si="33"/>
        <v>0.51958333333333329</v>
      </c>
      <c r="AD42" s="22">
        <f t="shared" si="12"/>
        <v>8.3043981481481455E-2</v>
      </c>
      <c r="AE42" s="33">
        <f t="shared" si="1"/>
        <v>1.4201388888888888E-2</v>
      </c>
      <c r="AF42" s="33">
        <f t="shared" si="2"/>
        <v>9.7245370370370343E-2</v>
      </c>
    </row>
    <row r="43" spans="2:32" ht="15.6" x14ac:dyDescent="0.3">
      <c r="B43" s="8">
        <v>37</v>
      </c>
      <c r="C43" s="9">
        <v>0.42791666666666667</v>
      </c>
      <c r="D43" s="9">
        <f t="shared" si="25"/>
        <v>8.4490740740739145E-4</v>
      </c>
      <c r="E43" s="14" t="str">
        <f t="shared" si="26"/>
        <v/>
      </c>
      <c r="F43" s="10">
        <f t="shared" si="27"/>
        <v>4.2013888888888795E-3</v>
      </c>
      <c r="G43" s="10">
        <f t="shared" si="28"/>
        <v>0.42791666666666667</v>
      </c>
      <c r="H43" s="10">
        <f t="shared" si="10"/>
        <v>1.2962962962962954E-3</v>
      </c>
      <c r="I43" s="10">
        <v>0.42921296296296296</v>
      </c>
      <c r="J43" s="14" t="str">
        <f t="shared" si="4"/>
        <v/>
      </c>
      <c r="K43" s="14">
        <f t="shared" si="7"/>
        <v>6.5972222222221433E-4</v>
      </c>
      <c r="L43" s="9">
        <f t="shared" si="5"/>
        <v>3.5648148148147984E-3</v>
      </c>
      <c r="M43" s="9">
        <f t="shared" si="6"/>
        <v>0.42921296296296296</v>
      </c>
      <c r="N43" s="9">
        <f t="shared" si="0"/>
        <v>1.5046296296296058E-3</v>
      </c>
      <c r="O43" s="9">
        <v>0.43071759259259257</v>
      </c>
      <c r="P43" s="7" t="s">
        <v>17</v>
      </c>
      <c r="Q43" s="14">
        <f t="shared" si="19"/>
        <v>8.217592592592593E-2</v>
      </c>
      <c r="R43" s="48">
        <f t="shared" si="31"/>
        <v>2.3148148148148251E-3</v>
      </c>
      <c r="S43" s="16" t="str">
        <f t="shared" si="29"/>
        <v/>
      </c>
      <c r="T43" s="10">
        <f t="shared" si="32"/>
        <v>0.5128935185185185</v>
      </c>
      <c r="U43" s="10">
        <f t="shared" si="30"/>
        <v>4.0393518518518912E-3</v>
      </c>
      <c r="V43" s="10">
        <v>0.51693287037037039</v>
      </c>
      <c r="W43" s="17" t="s">
        <v>7</v>
      </c>
      <c r="X43" s="14">
        <f>IF(AC42&gt;V43,AC42-V43,"")</f>
        <v>2.6504629629628962E-3</v>
      </c>
      <c r="Y43" s="14">
        <f t="shared" si="34"/>
        <v>5.4050925925925863E-3</v>
      </c>
      <c r="Z43" s="9" t="s">
        <v>20</v>
      </c>
      <c r="AA43" s="9">
        <f>AC42</f>
        <v>0.51958333333333329</v>
      </c>
      <c r="AB43" s="9">
        <v>7.511574074074101E-3</v>
      </c>
      <c r="AC43" s="9">
        <f t="shared" si="33"/>
        <v>0.52709490740740739</v>
      </c>
      <c r="AD43" s="22">
        <f t="shared" si="12"/>
        <v>8.4826388888888826E-2</v>
      </c>
      <c r="AE43" s="33">
        <f t="shared" si="1"/>
        <v>1.4351851851851893E-2</v>
      </c>
      <c r="AF43" s="33">
        <f t="shared" si="2"/>
        <v>9.917824074074072E-2</v>
      </c>
    </row>
    <row r="44" spans="2:32" ht="15.6" x14ac:dyDescent="0.3">
      <c r="B44" s="8">
        <v>38</v>
      </c>
      <c r="C44" s="9">
        <v>0.42876157407407406</v>
      </c>
      <c r="D44" s="9">
        <f>C45-C44</f>
        <v>8.0208333333333659E-3</v>
      </c>
      <c r="E44" s="14">
        <f t="shared" si="26"/>
        <v>4.5138888888890394E-4</v>
      </c>
      <c r="F44" s="10" t="str">
        <f t="shared" si="27"/>
        <v/>
      </c>
      <c r="G44" s="10">
        <f t="shared" si="28"/>
        <v>0.42921296296296296</v>
      </c>
      <c r="H44" s="10">
        <f t="shared" si="10"/>
        <v>6.5972222222221433E-4</v>
      </c>
      <c r="I44" s="10">
        <v>0.42987268518518518</v>
      </c>
      <c r="J44" s="14">
        <f t="shared" si="4"/>
        <v>8.4490740740739145E-4</v>
      </c>
      <c r="K44" s="14">
        <f t="shared" si="7"/>
        <v>7.6157407407407285E-3</v>
      </c>
      <c r="L44" s="9" t="str">
        <f t="shared" si="5"/>
        <v/>
      </c>
      <c r="M44" s="9">
        <f t="shared" si="6"/>
        <v>0.43071759259259257</v>
      </c>
      <c r="N44" s="9">
        <f t="shared" si="0"/>
        <v>2.3148148148148251E-3</v>
      </c>
      <c r="O44" s="9">
        <v>0.43303240740740739</v>
      </c>
      <c r="P44" s="7" t="s">
        <v>17</v>
      </c>
      <c r="Q44" s="14">
        <f t="shared" si="19"/>
        <v>8.3900462962962996E-2</v>
      </c>
      <c r="R44" s="48">
        <f t="shared" si="31"/>
        <v>6.4004629629629828E-3</v>
      </c>
      <c r="S44" s="16" t="str">
        <f t="shared" si="29"/>
        <v/>
      </c>
      <c r="T44" s="10">
        <f t="shared" si="32"/>
        <v>0.51693287037037039</v>
      </c>
      <c r="U44" s="10">
        <f t="shared" si="30"/>
        <v>5.4050925925925863E-3</v>
      </c>
      <c r="V44" s="10">
        <v>0.52233796296296298</v>
      </c>
      <c r="W44" s="17" t="s">
        <v>7</v>
      </c>
      <c r="X44" s="14">
        <f>IF(AC43&gt;V44,AC43-V44,"")</f>
        <v>4.7569444444444109E-3</v>
      </c>
      <c r="Y44" s="14">
        <f t="shared" si="34"/>
        <v>5.6712962962962576E-3</v>
      </c>
      <c r="Z44" s="9" t="s">
        <v>20</v>
      </c>
      <c r="AA44" s="9">
        <f>AC43</f>
        <v>0.52709490740740739</v>
      </c>
      <c r="AB44" s="9">
        <v>4.1319444444444242E-3</v>
      </c>
      <c r="AC44" s="9">
        <f t="shared" si="33"/>
        <v>0.53122685185185181</v>
      </c>
      <c r="AD44" s="22">
        <f t="shared" si="12"/>
        <v>8.9953703703703702E-2</v>
      </c>
      <c r="AE44" s="33">
        <f t="shared" si="1"/>
        <v>1.251157407407405E-2</v>
      </c>
      <c r="AF44" s="33">
        <f t="shared" si="2"/>
        <v>0.10246527777777775</v>
      </c>
    </row>
    <row r="45" spans="2:32" ht="15.6" x14ac:dyDescent="0.3">
      <c r="B45" s="8">
        <v>39</v>
      </c>
      <c r="C45" s="9">
        <v>0.43678240740740742</v>
      </c>
      <c r="D45" s="9">
        <f>C46-C45</f>
        <v>2.011574074074074E-2</v>
      </c>
      <c r="E45" s="14" t="str">
        <f>IF(G45&gt;C45,G45-C45,"")</f>
        <v/>
      </c>
      <c r="F45" s="10">
        <f>IF(G45&gt;I44,G45-I44,"")</f>
        <v>6.9097222222222476E-3</v>
      </c>
      <c r="G45" s="10">
        <f>IF(C45&gt;I44,C45,I44)</f>
        <v>0.43678240740740742</v>
      </c>
      <c r="H45" s="10">
        <f>I45-G45</f>
        <v>7.0601851851848085E-4</v>
      </c>
      <c r="I45" s="10">
        <v>0.43748842592592591</v>
      </c>
      <c r="J45" s="14" t="str">
        <f t="shared" si="4"/>
        <v/>
      </c>
      <c r="K45" s="14">
        <f>I46-I45</f>
        <v>2.0150462962962967E-2</v>
      </c>
      <c r="L45" s="9">
        <f t="shared" si="5"/>
        <v>4.4560185185185119E-3</v>
      </c>
      <c r="M45" s="9">
        <f t="shared" si="6"/>
        <v>0.43748842592592591</v>
      </c>
      <c r="N45" s="9">
        <f t="shared" si="0"/>
        <v>1.9444444444444708E-3</v>
      </c>
      <c r="O45" s="9">
        <v>0.43943287037037038</v>
      </c>
      <c r="P45" s="7" t="s">
        <v>17</v>
      </c>
      <c r="Q45" s="14">
        <f t="shared" si="19"/>
        <v>8.29050925925926E-2</v>
      </c>
      <c r="R45" s="48">
        <f t="shared" si="31"/>
        <v>1.9652777777777797E-2</v>
      </c>
      <c r="S45" s="16" t="str">
        <f t="shared" si="29"/>
        <v/>
      </c>
      <c r="T45" s="10">
        <f t="shared" si="32"/>
        <v>0.52233796296296298</v>
      </c>
      <c r="U45" s="10">
        <f t="shared" si="30"/>
        <v>5.6712962962962576E-3</v>
      </c>
      <c r="V45" s="10">
        <v>0.52800925925925923</v>
      </c>
      <c r="W45" s="17" t="s">
        <v>7</v>
      </c>
      <c r="X45" s="14">
        <f>IF(AC44&gt;V45,AC44-V45,"")</f>
        <v>3.2175925925925775E-3</v>
      </c>
      <c r="Y45" s="14">
        <f t="shared" si="34"/>
        <v>8.0555555555555935E-3</v>
      </c>
      <c r="Z45" s="9" t="s">
        <v>20</v>
      </c>
      <c r="AA45" s="9">
        <f>AC44</f>
        <v>0.53122685185185181</v>
      </c>
      <c r="AB45" s="9">
        <v>3.0787037037036669E-3</v>
      </c>
      <c r="AC45" s="9">
        <f t="shared" si="33"/>
        <v>0.53430555555555548</v>
      </c>
      <c r="AD45" s="22">
        <f t="shared" si="12"/>
        <v>8.6122685185185177E-2</v>
      </c>
      <c r="AE45" s="33">
        <f t="shared" si="1"/>
        <v>1.1400462962962876E-2</v>
      </c>
      <c r="AF45" s="33">
        <f t="shared" si="2"/>
        <v>9.7523148148148053E-2</v>
      </c>
    </row>
    <row r="46" spans="2:32" ht="15.6" x14ac:dyDescent="0.3">
      <c r="B46" s="8">
        <v>40</v>
      </c>
      <c r="C46" s="9">
        <v>0.45689814814814816</v>
      </c>
      <c r="D46" s="9"/>
      <c r="E46" s="14" t="str">
        <f>IF(G46&gt;C46,G46-C46,"")</f>
        <v/>
      </c>
      <c r="F46" s="10">
        <f>IF(G46&gt;I45,G46-I45,"")</f>
        <v>1.9409722222222259E-2</v>
      </c>
      <c r="G46" s="10">
        <f>IF(C46&gt;I45,C46,I45)</f>
        <v>0.45689814814814816</v>
      </c>
      <c r="H46" s="10">
        <f t="shared" si="10"/>
        <v>7.407407407407085E-4</v>
      </c>
      <c r="I46" s="10">
        <v>0.45763888888888887</v>
      </c>
      <c r="J46" s="14" t="str">
        <f t="shared" si="4"/>
        <v/>
      </c>
      <c r="K46" s="14"/>
      <c r="L46" s="9">
        <f t="shared" si="5"/>
        <v>1.8206018518518496E-2</v>
      </c>
      <c r="M46" s="9">
        <f t="shared" si="6"/>
        <v>0.45763888888888887</v>
      </c>
      <c r="N46" s="9">
        <f t="shared" si="0"/>
        <v>1.4467592592593004E-3</v>
      </c>
      <c r="O46" s="9">
        <v>0.45908564814814817</v>
      </c>
      <c r="P46" s="7" t="s">
        <v>17</v>
      </c>
      <c r="Q46" s="14">
        <f t="shared" si="19"/>
        <v>6.8923611111111061E-2</v>
      </c>
      <c r="R46" s="48"/>
      <c r="S46" s="16" t="str">
        <f t="shared" si="29"/>
        <v/>
      </c>
      <c r="T46" s="10">
        <f t="shared" si="32"/>
        <v>0.52800925925925923</v>
      </c>
      <c r="U46" s="10">
        <f t="shared" si="30"/>
        <v>8.0555555555555935E-3</v>
      </c>
      <c r="V46" s="10">
        <v>0.53606481481481483</v>
      </c>
      <c r="W46" s="17" t="s">
        <v>7</v>
      </c>
      <c r="X46" s="14" t="str">
        <f>IF(AC45&gt;V46,AC45-V46,"")</f>
        <v/>
      </c>
      <c r="Y46" s="14"/>
      <c r="Z46" s="9" t="s">
        <v>20</v>
      </c>
      <c r="AA46" s="9">
        <f>V46</f>
        <v>0.53606481481481483</v>
      </c>
      <c r="AB46" s="9">
        <v>3.3333333333334103E-3</v>
      </c>
      <c r="AC46" s="9">
        <f t="shared" si="33"/>
        <v>0.53939814814814824</v>
      </c>
      <c r="AD46" s="22">
        <f t="shared" si="12"/>
        <v>6.8923611111111061E-2</v>
      </c>
      <c r="AE46" s="33">
        <f t="shared" si="1"/>
        <v>1.3576388888889013E-2</v>
      </c>
      <c r="AF46" s="33">
        <f t="shared" si="2"/>
        <v>8.2500000000000073E-2</v>
      </c>
    </row>
    <row r="47" spans="2:32" x14ac:dyDescent="0.3">
      <c r="E47" s="2"/>
      <c r="H47" s="2"/>
      <c r="J47" s="2"/>
      <c r="L47" s="2"/>
      <c r="N47" s="2"/>
      <c r="O47" s="2"/>
      <c r="Q47" s="2"/>
      <c r="R47" s="2"/>
      <c r="U47" s="2"/>
      <c r="V47" s="2"/>
      <c r="X47" s="2"/>
      <c r="Y47" s="2"/>
      <c r="Z47" s="2"/>
      <c r="AB47" s="2"/>
      <c r="AD47" s="2">
        <f>AVERAGE(AD9:AD46)</f>
        <v>4.375974658869395E-2</v>
      </c>
      <c r="AF47" s="2"/>
    </row>
    <row r="48" spans="2:32" x14ac:dyDescent="0.3">
      <c r="B48" s="80" t="s">
        <v>139</v>
      </c>
      <c r="O48" s="2"/>
      <c r="V48" s="2"/>
    </row>
    <row r="50" spans="2:18" x14ac:dyDescent="0.3">
      <c r="B50" s="179" t="s">
        <v>96</v>
      </c>
      <c r="C50" s="179"/>
      <c r="D50" s="179"/>
      <c r="E50" s="179"/>
      <c r="F50" s="179"/>
      <c r="G50" s="179"/>
      <c r="H50" s="179"/>
      <c r="I50" s="179"/>
      <c r="J50" s="179"/>
      <c r="K50" s="179"/>
    </row>
    <row r="51" spans="2:18" ht="16.8" x14ac:dyDescent="0.3">
      <c r="B51" s="78" t="s">
        <v>97</v>
      </c>
      <c r="C51" s="78"/>
      <c r="D51" s="78" t="s">
        <v>98</v>
      </c>
      <c r="E51" s="78" t="s">
        <v>100</v>
      </c>
      <c r="F51" s="78"/>
      <c r="G51" s="78" t="s">
        <v>99</v>
      </c>
      <c r="H51" s="78" t="s">
        <v>101</v>
      </c>
      <c r="I51" s="78" t="s">
        <v>103</v>
      </c>
      <c r="J51" s="78" t="s">
        <v>104</v>
      </c>
      <c r="K51" s="78" t="s">
        <v>107</v>
      </c>
    </row>
    <row r="52" spans="2:18" x14ac:dyDescent="0.3">
      <c r="B52" s="78">
        <v>1</v>
      </c>
      <c r="C52" s="47">
        <f>AVERAGE(D7:D45)*1440</f>
        <v>4.5623931623931639</v>
      </c>
      <c r="D52" s="47">
        <f>_xlfn.STDEV.S(D7:D45)*1440</f>
        <v>5.8295071636614484</v>
      </c>
      <c r="E52" s="47">
        <f>D52/C52</f>
        <v>1.2777301201730784</v>
      </c>
      <c r="F52" s="47">
        <f>AVERAGE(H7:H46)*1440</f>
        <v>1.6062499999999995</v>
      </c>
      <c r="G52" s="47">
        <f>_xlfn.STDEV.S(H7:H46)*1440</f>
        <v>0.77491555922670419</v>
      </c>
      <c r="H52" s="47">
        <f>G52/F52</f>
        <v>0.48243770224230625</v>
      </c>
      <c r="I52" s="47">
        <f>1/C52</f>
        <v>0.21918321468714866</v>
      </c>
      <c r="J52" s="49">
        <f>I52*F52</f>
        <v>0.35206303859123245</v>
      </c>
      <c r="K52" s="77">
        <f>1/F52</f>
        <v>0.62256809338521424</v>
      </c>
    </row>
    <row r="53" spans="2:18" x14ac:dyDescent="0.3">
      <c r="B53" s="78">
        <v>2</v>
      </c>
      <c r="C53" s="47">
        <f>AVERAGE(K7:K45)*1440</f>
        <v>4.5128205128205137</v>
      </c>
      <c r="D53" s="47">
        <f>_xlfn.STDEV.S(K7:K45)*1440</f>
        <v>5.6186061276631358</v>
      </c>
      <c r="E53" s="47">
        <f t="shared" ref="E53:E54" si="35">D53/C53</f>
        <v>1.2450320396526264</v>
      </c>
      <c r="F53" s="47">
        <f>AVERAGE(N7:N46)*1440</f>
        <v>2.456250000000006</v>
      </c>
      <c r="G53" s="47">
        <f>_xlfn.STDEV.S(N7:N46)*1440</f>
        <v>1.0802862307998957</v>
      </c>
      <c r="H53" s="47">
        <f t="shared" ref="H53:H55" si="36">G53/F53</f>
        <v>0.43981118811191577</v>
      </c>
      <c r="I53" s="47">
        <f t="shared" ref="I53:I55" si="37">1/C53</f>
        <v>0.22159090909090906</v>
      </c>
      <c r="J53" s="49">
        <f t="shared" ref="J53:J55" si="38">I53*F53</f>
        <v>0.5442826704545467</v>
      </c>
      <c r="K53" s="77">
        <f>1/F53</f>
        <v>0.40712468193384121</v>
      </c>
    </row>
    <row r="54" spans="2:18" ht="14.4" customHeight="1" x14ac:dyDescent="0.3">
      <c r="B54" s="78">
        <v>3</v>
      </c>
      <c r="C54" s="47">
        <f>AVERAGE(R7:R45)*1440</f>
        <v>5.5488505747126435</v>
      </c>
      <c r="D54" s="47">
        <f>_xlfn.STDEV.S(R10:R45)*1440</f>
        <v>5.3763922726798672</v>
      </c>
      <c r="E54" s="47">
        <f t="shared" si="35"/>
        <v>0.96891999528358042</v>
      </c>
      <c r="F54" s="47">
        <f>AVERAGE(U7:U46)*1440</f>
        <v>9.0588888888888874</v>
      </c>
      <c r="G54" s="47">
        <f>_xlfn.STDEV.S(U10:U46)*1440</f>
        <v>4.4802776266376281</v>
      </c>
      <c r="H54" s="47">
        <f t="shared" si="36"/>
        <v>0.49457253329742007</v>
      </c>
      <c r="I54" s="47">
        <f t="shared" si="37"/>
        <v>0.18021750388399793</v>
      </c>
      <c r="J54" s="50">
        <f t="shared" si="38"/>
        <v>1.6325703435180388</v>
      </c>
      <c r="K54" s="77">
        <f t="shared" ref="K54:K55" si="39">1/F54</f>
        <v>0.11038881393352142</v>
      </c>
      <c r="L54" s="178" t="s">
        <v>141</v>
      </c>
      <c r="M54" s="178"/>
      <c r="N54" s="178"/>
      <c r="O54" s="178"/>
      <c r="P54" s="178"/>
      <c r="Q54" s="178"/>
      <c r="R54" s="178"/>
    </row>
    <row r="55" spans="2:18" x14ac:dyDescent="0.3">
      <c r="B55" s="78">
        <v>4</v>
      </c>
      <c r="C55" s="47">
        <f>AVERAGE(Y16:Y45)*1440</f>
        <v>12.152941176470588</v>
      </c>
      <c r="D55" s="47">
        <f>_xlfn.STDEV.S(Y16:Y45)*1440</f>
        <v>6.185560120414956</v>
      </c>
      <c r="E55" s="47">
        <f>D55/C55</f>
        <v>0.50897638938554823</v>
      </c>
      <c r="F55" s="47">
        <f>AVERAGE(AB7:AB46)*1440</f>
        <v>5.6703703703703727</v>
      </c>
      <c r="G55" s="47">
        <f>_xlfn.STDEV.S(AB16:AB46)*1440</f>
        <v>2.672289143510008</v>
      </c>
      <c r="H55" s="47">
        <f t="shared" si="36"/>
        <v>0.4712724159031364</v>
      </c>
      <c r="I55" s="47">
        <f t="shared" si="37"/>
        <v>8.2284607938044541E-2</v>
      </c>
      <c r="J55" s="49">
        <f t="shared" si="38"/>
        <v>0.46658420278943052</v>
      </c>
      <c r="K55" s="77">
        <f t="shared" si="39"/>
        <v>0.17635532331809267</v>
      </c>
      <c r="L55" s="178"/>
      <c r="M55" s="178"/>
      <c r="N55" s="178"/>
      <c r="O55" s="178"/>
      <c r="P55" s="178"/>
      <c r="Q55" s="178"/>
      <c r="R55" s="178"/>
    </row>
    <row r="56" spans="2:18" x14ac:dyDescent="0.3">
      <c r="L56" s="178"/>
      <c r="M56" s="178"/>
      <c r="N56" s="178"/>
      <c r="O56" s="178"/>
      <c r="P56" s="178"/>
      <c r="Q56" s="178"/>
      <c r="R56" s="178"/>
    </row>
    <row r="57" spans="2:18" x14ac:dyDescent="0.3">
      <c r="L57" s="178"/>
      <c r="M57" s="178"/>
      <c r="N57" s="178"/>
      <c r="O57" s="178"/>
      <c r="P57" s="178"/>
      <c r="Q57" s="178"/>
      <c r="R57" s="178"/>
    </row>
  </sheetData>
  <mergeCells count="20">
    <mergeCell ref="F4:AF4"/>
    <mergeCell ref="B5:B6"/>
    <mergeCell ref="C5:C6"/>
    <mergeCell ref="D5:D6"/>
    <mergeCell ref="E5:E6"/>
    <mergeCell ref="F5:I5"/>
    <mergeCell ref="J5:J6"/>
    <mergeCell ref="L5:P5"/>
    <mergeCell ref="Q5:Q6"/>
    <mergeCell ref="S5:W5"/>
    <mergeCell ref="X5:X6"/>
    <mergeCell ref="Z5:AC5"/>
    <mergeCell ref="AD5:AD6"/>
    <mergeCell ref="AE5:AE6"/>
    <mergeCell ref="AF5:AF6"/>
    <mergeCell ref="Y5:Y6"/>
    <mergeCell ref="K5:K6"/>
    <mergeCell ref="R5:R6"/>
    <mergeCell ref="L54:R57"/>
    <mergeCell ref="B50:K50"/>
  </mergeCells>
  <dataValidations count="3">
    <dataValidation type="list" allowBlank="1" showInputMessage="1" showErrorMessage="1" sqref="P7:P41 P43:P46" xr:uid="{52255CA7-1E26-4313-8184-C5C374D67327}">
      <formula1>$B$53:$B$54</formula1>
    </dataValidation>
    <dataValidation type="list" allowBlank="1" showInputMessage="1" showErrorMessage="1" sqref="W7:W46" xr:uid="{A1BD8F86-8746-464F-8E4C-DEAD8E42E7AB}">
      <formula1>$D$53:$D$54</formula1>
    </dataValidation>
    <dataValidation type="list" allowBlank="1" showInputMessage="1" showErrorMessage="1" sqref="P42 P7" xr:uid="{273CE688-CC7A-43DA-A79B-4EA4FD6DA152}">
      <formula1>$B$50:$B$51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26A5F-4482-41F0-A05E-CA2A38F1B508}">
  <dimension ref="B2:AG71"/>
  <sheetViews>
    <sheetView showGridLines="0" topLeftCell="A62" zoomScale="59" zoomScaleNormal="142" workbookViewId="0">
      <selection activeCell="I69" sqref="I69"/>
    </sheetView>
  </sheetViews>
  <sheetFormatPr defaultRowHeight="14.4" x14ac:dyDescent="0.3"/>
  <cols>
    <col min="2" max="2" width="8.88671875" customWidth="1"/>
    <col min="3" max="3" width="11.5546875" customWidth="1"/>
    <col min="4" max="4" width="12" customWidth="1"/>
    <col min="5" max="5" width="10.5546875" customWidth="1"/>
    <col min="6" max="6" width="10.88671875" customWidth="1"/>
    <col min="7" max="7" width="11.33203125" customWidth="1"/>
    <col min="8" max="9" width="11" customWidth="1"/>
    <col min="10" max="10" width="9.88671875" customWidth="1"/>
    <col min="11" max="11" width="12" customWidth="1"/>
    <col min="12" max="12" width="10.77734375" customWidth="1"/>
    <col min="13" max="13" width="11" customWidth="1"/>
    <col min="14" max="14" width="11.44140625" customWidth="1"/>
    <col min="15" max="15" width="10.88671875" customWidth="1"/>
    <col min="16" max="16" width="20.21875" customWidth="1"/>
    <col min="17" max="17" width="10.6640625" customWidth="1"/>
    <col min="18" max="18" width="12" customWidth="1"/>
    <col min="20" max="20" width="10.77734375" customWidth="1"/>
    <col min="21" max="21" width="10" customWidth="1"/>
    <col min="22" max="22" width="10.21875" customWidth="1"/>
    <col min="23" max="23" width="12.5546875" customWidth="1"/>
    <col min="24" max="24" width="10.109375" customWidth="1"/>
    <col min="25" max="25" width="12.109375" customWidth="1"/>
    <col min="26" max="26" width="10.88671875" customWidth="1"/>
    <col min="27" max="27" width="11" customWidth="1"/>
    <col min="28" max="28" width="11.109375" customWidth="1"/>
    <col min="29" max="29" width="10.88671875" customWidth="1"/>
    <col min="30" max="30" width="10.33203125" customWidth="1"/>
    <col min="31" max="31" width="10.44140625" customWidth="1"/>
    <col min="32" max="32" width="10.109375" customWidth="1"/>
  </cols>
  <sheetData>
    <row r="2" spans="2:16" x14ac:dyDescent="0.3">
      <c r="B2" s="80" t="s">
        <v>109</v>
      </c>
    </row>
    <row r="3" spans="2:16" x14ac:dyDescent="0.3">
      <c r="B3" s="80"/>
    </row>
    <row r="4" spans="2:16" x14ac:dyDescent="0.3">
      <c r="B4" s="182" t="s">
        <v>110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</row>
    <row r="5" spans="2:16" ht="14.4" customHeight="1" x14ac:dyDescent="0.3">
      <c r="B5" s="181" t="s">
        <v>130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84"/>
      <c r="O5" s="84"/>
      <c r="P5" s="84"/>
    </row>
    <row r="6" spans="2:16" x14ac:dyDescent="0.3"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84"/>
      <c r="O6" s="84"/>
      <c r="P6" s="84"/>
    </row>
    <row r="7" spans="2:16" x14ac:dyDescent="0.3"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84"/>
      <c r="O7" s="84"/>
      <c r="P7" s="84"/>
    </row>
    <row r="8" spans="2:16" x14ac:dyDescent="0.3"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4"/>
      <c r="O8" s="84"/>
      <c r="P8" s="84"/>
    </row>
    <row r="9" spans="2:16" x14ac:dyDescent="0.3">
      <c r="B9" s="80" t="s">
        <v>131</v>
      </c>
    </row>
    <row r="10" spans="2:16" x14ac:dyDescent="0.3">
      <c r="B10" s="80"/>
    </row>
    <row r="11" spans="2:16" x14ac:dyDescent="0.3">
      <c r="B11" s="182" t="s">
        <v>133</v>
      </c>
      <c r="C11" s="182"/>
      <c r="D11" s="182"/>
    </row>
    <row r="12" spans="2:16" x14ac:dyDescent="0.3">
      <c r="B12" s="183" t="s">
        <v>132</v>
      </c>
      <c r="C12" s="183"/>
      <c r="D12" s="183"/>
    </row>
    <row r="14" spans="2:16" x14ac:dyDescent="0.3">
      <c r="B14" s="184" t="s">
        <v>134</v>
      </c>
      <c r="C14" s="184"/>
      <c r="D14" s="184"/>
      <c r="E14" s="184"/>
      <c r="F14" s="184"/>
      <c r="G14" s="184"/>
    </row>
    <row r="16" spans="2:16" x14ac:dyDescent="0.3">
      <c r="B16" s="184" t="s">
        <v>135</v>
      </c>
      <c r="C16" s="184"/>
      <c r="D16" s="184"/>
      <c r="E16" s="184"/>
      <c r="F16" s="184"/>
      <c r="G16" s="184"/>
    </row>
    <row r="17" spans="2:33" x14ac:dyDescent="0.3">
      <c r="B17" s="4"/>
      <c r="C17" s="4"/>
      <c r="D17" s="4"/>
      <c r="E17" s="4"/>
      <c r="F17" s="4"/>
      <c r="G17" s="4"/>
    </row>
    <row r="18" spans="2:33" x14ac:dyDescent="0.3">
      <c r="B18" s="80" t="s">
        <v>136</v>
      </c>
      <c r="C18" s="4"/>
      <c r="D18" s="4"/>
      <c r="E18" s="4"/>
      <c r="F18" s="4"/>
      <c r="G18" s="4"/>
    </row>
    <row r="20" spans="2:33" ht="15.6" x14ac:dyDescent="0.3">
      <c r="B20" s="5"/>
      <c r="C20" s="5"/>
      <c r="D20" s="5"/>
      <c r="E20" s="5"/>
      <c r="F20" s="165" t="s">
        <v>6</v>
      </c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7"/>
    </row>
    <row r="21" spans="2:33" ht="15.6" customHeight="1" x14ac:dyDescent="0.3">
      <c r="B21" s="168" t="s">
        <v>10</v>
      </c>
      <c r="C21" s="170" t="s">
        <v>90</v>
      </c>
      <c r="D21" s="170" t="s">
        <v>102</v>
      </c>
      <c r="E21" s="169" t="s">
        <v>0</v>
      </c>
      <c r="F21" s="172" t="s">
        <v>8</v>
      </c>
      <c r="G21" s="172"/>
      <c r="H21" s="172"/>
      <c r="I21" s="172"/>
      <c r="J21" s="173" t="s">
        <v>0</v>
      </c>
      <c r="K21" s="170" t="s">
        <v>102</v>
      </c>
      <c r="L21" s="174" t="s">
        <v>44</v>
      </c>
      <c r="M21" s="175"/>
      <c r="N21" s="175"/>
      <c r="O21" s="175"/>
      <c r="P21" s="176"/>
      <c r="Q21" s="173" t="s">
        <v>0</v>
      </c>
      <c r="R21" s="170" t="s">
        <v>102</v>
      </c>
      <c r="S21" s="172" t="s">
        <v>106</v>
      </c>
      <c r="T21" s="172"/>
      <c r="U21" s="172"/>
      <c r="V21" s="172"/>
      <c r="W21" s="172"/>
      <c r="X21" s="173" t="s">
        <v>0</v>
      </c>
      <c r="Y21" s="170" t="s">
        <v>102</v>
      </c>
      <c r="Z21" s="177" t="s">
        <v>9</v>
      </c>
      <c r="AA21" s="177"/>
      <c r="AB21" s="177"/>
      <c r="AC21" s="177"/>
      <c r="AD21" s="162" t="s">
        <v>91</v>
      </c>
      <c r="AE21" s="162" t="s">
        <v>40</v>
      </c>
      <c r="AF21" s="164" t="s">
        <v>41</v>
      </c>
      <c r="AG21" s="168" t="s">
        <v>10</v>
      </c>
    </row>
    <row r="22" spans="2:33" ht="15.6" x14ac:dyDescent="0.3">
      <c r="B22" s="169"/>
      <c r="C22" s="171"/>
      <c r="D22" s="171"/>
      <c r="E22" s="169"/>
      <c r="F22" s="6" t="s">
        <v>1</v>
      </c>
      <c r="G22" s="6" t="s">
        <v>3</v>
      </c>
      <c r="H22" s="6" t="s">
        <v>2</v>
      </c>
      <c r="I22" s="6" t="s">
        <v>4</v>
      </c>
      <c r="J22" s="171"/>
      <c r="K22" s="171"/>
      <c r="L22" s="15" t="s">
        <v>1</v>
      </c>
      <c r="M22" s="15" t="s">
        <v>3</v>
      </c>
      <c r="N22" s="15" t="s">
        <v>2</v>
      </c>
      <c r="O22" s="15" t="s">
        <v>4</v>
      </c>
      <c r="P22" s="21" t="s">
        <v>5</v>
      </c>
      <c r="Q22" s="171"/>
      <c r="R22" s="171"/>
      <c r="S22" s="6" t="s">
        <v>1</v>
      </c>
      <c r="T22" s="6" t="s">
        <v>3</v>
      </c>
      <c r="U22" s="6" t="s">
        <v>2</v>
      </c>
      <c r="V22" s="6" t="s">
        <v>4</v>
      </c>
      <c r="W22" s="6" t="s">
        <v>5</v>
      </c>
      <c r="X22" s="171"/>
      <c r="Y22" s="171"/>
      <c r="Z22" s="7" t="s">
        <v>1</v>
      </c>
      <c r="AA22" s="7" t="s">
        <v>3</v>
      </c>
      <c r="AB22" s="7" t="s">
        <v>2</v>
      </c>
      <c r="AC22" s="7" t="s">
        <v>4</v>
      </c>
      <c r="AD22" s="163"/>
      <c r="AE22" s="163"/>
      <c r="AF22" s="162"/>
      <c r="AG22" s="169"/>
    </row>
    <row r="23" spans="2:33" ht="15.6" x14ac:dyDescent="0.3">
      <c r="B23" s="51">
        <v>1</v>
      </c>
      <c r="C23" s="52">
        <v>0.33333333333333331</v>
      </c>
      <c r="D23" s="52">
        <f>C24-C23</f>
        <v>5.5555555555555913E-3</v>
      </c>
      <c r="E23" s="52"/>
      <c r="F23" s="52"/>
      <c r="G23" s="52">
        <v>0.33333333333333331</v>
      </c>
      <c r="H23" s="52">
        <f>I23-G23</f>
        <v>2.0833333333333259E-3</v>
      </c>
      <c r="I23" s="52">
        <v>0.33541666666666664</v>
      </c>
      <c r="J23" s="52"/>
      <c r="K23" s="52">
        <f>I24-I23</f>
        <v>5.5555555555555913E-3</v>
      </c>
      <c r="L23" s="52"/>
      <c r="M23" s="52">
        <v>0.33541666666666664</v>
      </c>
      <c r="N23" s="52">
        <f t="shared" ref="N23:N32" si="0">O23-M23</f>
        <v>1.8518518518518823E-3</v>
      </c>
      <c r="O23" s="52">
        <v>0.33726851851851852</v>
      </c>
      <c r="P23" s="43" t="s">
        <v>18</v>
      </c>
      <c r="Q23" s="52"/>
      <c r="R23" s="53"/>
      <c r="S23" s="53"/>
      <c r="T23" s="52"/>
      <c r="U23" s="52"/>
      <c r="V23" s="52"/>
      <c r="W23" s="54"/>
      <c r="X23" s="52"/>
      <c r="Y23" s="52"/>
      <c r="Z23" s="52"/>
      <c r="AA23" s="52"/>
      <c r="AB23" s="52"/>
      <c r="AC23" s="52"/>
      <c r="AD23" s="55"/>
      <c r="AE23" s="52">
        <f t="shared" ref="AE23:AE62" si="1">H23+N23+U23+AB23</f>
        <v>3.9351851851852082E-3</v>
      </c>
      <c r="AF23" s="52">
        <f t="shared" ref="AF23:AF62" si="2">SUM(E23,H23,J23,N23,Q23,U23,X23,AB23)</f>
        <v>3.9351851851852082E-3</v>
      </c>
      <c r="AG23" s="51">
        <v>1</v>
      </c>
    </row>
    <row r="24" spans="2:33" ht="15.6" x14ac:dyDescent="0.3">
      <c r="B24" s="51">
        <v>2</v>
      </c>
      <c r="C24" s="52">
        <v>0.33888888888888891</v>
      </c>
      <c r="D24" s="52">
        <f t="shared" ref="D24:D31" si="3">C25-C24</f>
        <v>1.5509259259259278E-3</v>
      </c>
      <c r="E24" s="52" t="str">
        <f>IF(G24&gt;C24,G24-C24,"")</f>
        <v/>
      </c>
      <c r="F24" s="52">
        <f>IF(G24&gt;I23,G24-I23,"")</f>
        <v>3.4722222222222654E-3</v>
      </c>
      <c r="G24" s="52">
        <v>0.33888888888888891</v>
      </c>
      <c r="H24" s="52">
        <f>I24-G24</f>
        <v>2.0833333333333259E-3</v>
      </c>
      <c r="I24" s="52">
        <v>0.34097222222222223</v>
      </c>
      <c r="J24" s="52" t="str">
        <f t="shared" ref="J24:J62" si="4">IF(I24&gt;O23,"",O23-I24)</f>
        <v/>
      </c>
      <c r="K24" s="52">
        <f>I25-I24</f>
        <v>1.388888888888884E-3</v>
      </c>
      <c r="L24" s="52">
        <f t="shared" ref="L24:L62" si="5">IF(M24&gt;O23,M24-O23,"")</f>
        <v>3.703703703703709E-3</v>
      </c>
      <c r="M24" s="52">
        <f t="shared" ref="M24:M62" si="6">IF(I24&gt;O23,I24,O23)</f>
        <v>0.34097222222222223</v>
      </c>
      <c r="N24" s="52">
        <f t="shared" si="0"/>
        <v>1.4120370370370172E-3</v>
      </c>
      <c r="O24" s="52">
        <v>0.34238425925925925</v>
      </c>
      <c r="P24" s="43" t="s">
        <v>18</v>
      </c>
      <c r="Q24" s="52"/>
      <c r="R24" s="53"/>
      <c r="S24" s="53"/>
      <c r="T24" s="52"/>
      <c r="U24" s="52"/>
      <c r="V24" s="52"/>
      <c r="W24" s="54"/>
      <c r="X24" s="52"/>
      <c r="Y24" s="52"/>
      <c r="Z24" s="52"/>
      <c r="AA24" s="52"/>
      <c r="AB24" s="52"/>
      <c r="AC24" s="52"/>
      <c r="AD24" s="55"/>
      <c r="AE24" s="52">
        <f t="shared" si="1"/>
        <v>3.4953703703703431E-3</v>
      </c>
      <c r="AF24" s="52">
        <f t="shared" si="2"/>
        <v>3.4953703703703431E-3</v>
      </c>
      <c r="AG24" s="51">
        <v>2</v>
      </c>
    </row>
    <row r="25" spans="2:33" ht="15.6" x14ac:dyDescent="0.3">
      <c r="B25" s="51">
        <v>3</v>
      </c>
      <c r="C25" s="52">
        <v>0.34043981481481483</v>
      </c>
      <c r="D25" s="52">
        <f t="shared" si="3"/>
        <v>7.7546296296293615E-4</v>
      </c>
      <c r="E25" s="52">
        <f>IF(G25&gt;C25,G25-C25,"")</f>
        <v>5.3240740740739811E-4</v>
      </c>
      <c r="F25" s="52" t="str">
        <f>IF(G25&gt;I24,G25-I24,"")</f>
        <v/>
      </c>
      <c r="G25" s="52">
        <v>0.34097222222222223</v>
      </c>
      <c r="H25" s="52">
        <f>I25-G25</f>
        <v>1.388888888888884E-3</v>
      </c>
      <c r="I25" s="52">
        <v>0.34236111111111112</v>
      </c>
      <c r="J25" s="52">
        <f t="shared" si="4"/>
        <v>2.3148148148133263E-5</v>
      </c>
      <c r="K25" s="52">
        <f t="shared" ref="K25:K60" si="7">I26-I25</f>
        <v>1.388888888888884E-3</v>
      </c>
      <c r="L25" s="52" t="str">
        <f t="shared" si="5"/>
        <v/>
      </c>
      <c r="M25" s="52">
        <f t="shared" si="6"/>
        <v>0.34238425925925925</v>
      </c>
      <c r="N25" s="52">
        <f t="shared" si="0"/>
        <v>3.8888888888888862E-3</v>
      </c>
      <c r="O25" s="52">
        <v>0.34627314814814814</v>
      </c>
      <c r="P25" s="43" t="s">
        <v>18</v>
      </c>
      <c r="Q25" s="52"/>
      <c r="R25" s="53"/>
      <c r="S25" s="53"/>
      <c r="T25" s="52"/>
      <c r="U25" s="52"/>
      <c r="V25" s="52"/>
      <c r="W25" s="54"/>
      <c r="X25" s="52"/>
      <c r="Y25" s="52"/>
      <c r="Z25" s="52"/>
      <c r="AA25" s="52"/>
      <c r="AB25" s="52"/>
      <c r="AC25" s="52"/>
      <c r="AD25" s="55">
        <f t="shared" ref="AD25:AD62" si="8">SUM(E25,J25,Q25,X25)</f>
        <v>5.5555555555553138E-4</v>
      </c>
      <c r="AE25" s="52">
        <f t="shared" si="1"/>
        <v>5.2777777777777701E-3</v>
      </c>
      <c r="AF25" s="52">
        <f t="shared" si="2"/>
        <v>5.8333333333333015E-3</v>
      </c>
      <c r="AG25" s="51">
        <v>3</v>
      </c>
    </row>
    <row r="26" spans="2:33" ht="15.6" x14ac:dyDescent="0.3">
      <c r="B26" s="51">
        <v>4</v>
      </c>
      <c r="C26" s="52">
        <v>0.34121527777777777</v>
      </c>
      <c r="D26" s="52">
        <f t="shared" si="3"/>
        <v>9.9537037037039644E-4</v>
      </c>
      <c r="E26" s="52">
        <f t="shared" ref="E26:E47" si="9">IF(G26&gt;C26,G26-C26,"")</f>
        <v>1.1458333333333459E-3</v>
      </c>
      <c r="F26" s="52" t="str">
        <f t="shared" ref="F26:F47" si="10">IF(G26&gt;I25,G26-I25,"")</f>
        <v/>
      </c>
      <c r="G26" s="52">
        <v>0.34236111111111112</v>
      </c>
      <c r="H26" s="52">
        <f t="shared" ref="H26:H32" si="11">I26-G26</f>
        <v>1.388888888888884E-3</v>
      </c>
      <c r="I26" s="52">
        <v>0.34375</v>
      </c>
      <c r="J26" s="52">
        <f t="shared" si="4"/>
        <v>2.5231481481481355E-3</v>
      </c>
      <c r="K26" s="52">
        <f t="shared" si="7"/>
        <v>9.490740740740744E-4</v>
      </c>
      <c r="L26" s="52" t="str">
        <f t="shared" si="5"/>
        <v/>
      </c>
      <c r="M26" s="52">
        <f t="shared" si="6"/>
        <v>0.34627314814814814</v>
      </c>
      <c r="N26" s="52">
        <f t="shared" si="0"/>
        <v>1.0648148148148517E-3</v>
      </c>
      <c r="O26" s="52">
        <v>0.34733796296296299</v>
      </c>
      <c r="P26" s="43" t="s">
        <v>17</v>
      </c>
      <c r="Q26" s="52" t="str">
        <f t="shared" ref="Q26:Q45" si="12">IF(T26&gt;O26,T26-O26,"")</f>
        <v/>
      </c>
      <c r="R26" s="53">
        <f>O27-O26</f>
        <v>1.1226851851851571E-3</v>
      </c>
      <c r="S26" s="53" t="str">
        <f>IF(V26&lt;O26,O26-V26,"")</f>
        <v/>
      </c>
      <c r="T26" s="52">
        <f>O26</f>
        <v>0.34733796296296299</v>
      </c>
      <c r="U26" s="52">
        <f>V26-T26</f>
        <v>3.3796296296296213E-3</v>
      </c>
      <c r="V26" s="52">
        <v>0.35071759259259261</v>
      </c>
      <c r="W26" s="54" t="s">
        <v>19</v>
      </c>
      <c r="X26" s="52"/>
      <c r="Y26" s="52"/>
      <c r="Z26" s="52"/>
      <c r="AA26" s="52"/>
      <c r="AB26" s="52"/>
      <c r="AC26" s="52"/>
      <c r="AD26" s="55">
        <f t="shared" si="8"/>
        <v>3.6689814814814814E-3</v>
      </c>
      <c r="AE26" s="52">
        <f t="shared" si="1"/>
        <v>5.833333333333357E-3</v>
      </c>
      <c r="AF26" s="52">
        <f t="shared" si="2"/>
        <v>9.5023148148148384E-3</v>
      </c>
      <c r="AG26" s="51">
        <v>4</v>
      </c>
    </row>
    <row r="27" spans="2:33" ht="15.6" x14ac:dyDescent="0.3">
      <c r="B27" s="51">
        <v>5</v>
      </c>
      <c r="C27" s="52">
        <v>0.34221064814814817</v>
      </c>
      <c r="D27" s="52">
        <f t="shared" si="3"/>
        <v>9.8379629629630205E-4</v>
      </c>
      <c r="E27" s="52">
        <f t="shared" si="9"/>
        <v>1.5393518518518334E-3</v>
      </c>
      <c r="F27" s="52" t="str">
        <f t="shared" si="10"/>
        <v/>
      </c>
      <c r="G27" s="52">
        <v>0.34375</v>
      </c>
      <c r="H27" s="52">
        <f t="shared" si="11"/>
        <v>9.490740740740744E-4</v>
      </c>
      <c r="I27" s="52">
        <v>0.34469907407407407</v>
      </c>
      <c r="J27" s="52">
        <f t="shared" si="4"/>
        <v>2.6388888888889128E-3</v>
      </c>
      <c r="K27" s="52">
        <f t="shared" si="7"/>
        <v>1.1458333333333459E-3</v>
      </c>
      <c r="L27" s="52" t="str">
        <f t="shared" si="5"/>
        <v/>
      </c>
      <c r="M27" s="52">
        <f t="shared" si="6"/>
        <v>0.34733796296296299</v>
      </c>
      <c r="N27" s="52">
        <f t="shared" si="0"/>
        <v>1.1226851851851571E-3</v>
      </c>
      <c r="O27" s="52">
        <v>0.34846064814814814</v>
      </c>
      <c r="P27" s="43" t="s">
        <v>17</v>
      </c>
      <c r="Q27" s="52">
        <f t="shared" si="12"/>
        <v>2.2569444444444642E-3</v>
      </c>
      <c r="R27" s="53">
        <f t="shared" ref="R27:R28" si="13">O28-O27</f>
        <v>7.6388888888889728E-4</v>
      </c>
      <c r="S27" s="53" t="str">
        <f>IF(V27&lt;O27,O27-V27,"")</f>
        <v/>
      </c>
      <c r="T27" s="52">
        <f>IF(V26&gt;O27,V26,O27)</f>
        <v>0.35071759259259261</v>
      </c>
      <c r="U27" s="52">
        <f>V27-T27</f>
        <v>6.620370370370332E-3</v>
      </c>
      <c r="V27" s="52">
        <v>0.35733796296296294</v>
      </c>
      <c r="W27" s="54" t="s">
        <v>19</v>
      </c>
      <c r="X27" s="52"/>
      <c r="Y27" s="52"/>
      <c r="Z27" s="52"/>
      <c r="AA27" s="52"/>
      <c r="AB27" s="52"/>
      <c r="AC27" s="52"/>
      <c r="AD27" s="55">
        <f t="shared" si="8"/>
        <v>6.4351851851852104E-3</v>
      </c>
      <c r="AE27" s="52">
        <f t="shared" si="1"/>
        <v>8.6921296296295636E-3</v>
      </c>
      <c r="AF27" s="52">
        <f t="shared" si="2"/>
        <v>1.5127314814814774E-2</v>
      </c>
      <c r="AG27" s="51">
        <v>5</v>
      </c>
    </row>
    <row r="28" spans="2:33" ht="15.6" x14ac:dyDescent="0.3">
      <c r="B28" s="51">
        <v>6</v>
      </c>
      <c r="C28" s="52">
        <v>0.34319444444444447</v>
      </c>
      <c r="D28" s="52">
        <f t="shared" si="3"/>
        <v>5.4398148148143699E-4</v>
      </c>
      <c r="E28" s="52">
        <f t="shared" si="9"/>
        <v>1.5046296296296058E-3</v>
      </c>
      <c r="F28" s="52" t="str">
        <f t="shared" si="10"/>
        <v/>
      </c>
      <c r="G28" s="52">
        <v>0.34469907407407407</v>
      </c>
      <c r="H28" s="52">
        <f t="shared" si="11"/>
        <v>1.1458333333333459E-3</v>
      </c>
      <c r="I28" s="52">
        <v>0.34584490740740742</v>
      </c>
      <c r="J28" s="52">
        <f t="shared" si="4"/>
        <v>2.615740740740724E-3</v>
      </c>
      <c r="K28" s="52">
        <f t="shared" si="7"/>
        <v>1.4004629629629228E-3</v>
      </c>
      <c r="L28" s="52" t="str">
        <f t="shared" si="5"/>
        <v/>
      </c>
      <c r="M28" s="52">
        <f t="shared" si="6"/>
        <v>0.34846064814814814</v>
      </c>
      <c r="N28" s="52">
        <f t="shared" si="0"/>
        <v>7.6388888888889728E-4</v>
      </c>
      <c r="O28" s="52">
        <v>0.34922453703703704</v>
      </c>
      <c r="P28" s="43" t="s">
        <v>17</v>
      </c>
      <c r="Q28" s="52">
        <f t="shared" si="12"/>
        <v>8.113425925925899E-3</v>
      </c>
      <c r="R28" s="53">
        <f t="shared" si="13"/>
        <v>5.7870370370372015E-4</v>
      </c>
      <c r="S28" s="53" t="str">
        <f>IF(V28&lt;O28,O28-V28,"")</f>
        <v/>
      </c>
      <c r="T28" s="52">
        <f>IF(V27&gt;O28,V27,O28)</f>
        <v>0.35733796296296294</v>
      </c>
      <c r="U28" s="52">
        <f>V28-T28</f>
        <v>1.2256944444444473E-2</v>
      </c>
      <c r="V28" s="52">
        <v>0.36959490740740741</v>
      </c>
      <c r="W28" s="54" t="s">
        <v>19</v>
      </c>
      <c r="X28" s="52"/>
      <c r="Y28" s="52"/>
      <c r="Z28" s="52"/>
      <c r="AA28" s="52"/>
      <c r="AB28" s="52"/>
      <c r="AC28" s="52"/>
      <c r="AD28" s="55">
        <f t="shared" si="8"/>
        <v>1.2233796296296229E-2</v>
      </c>
      <c r="AE28" s="52">
        <f t="shared" si="1"/>
        <v>1.4166666666666716E-2</v>
      </c>
      <c r="AF28" s="52">
        <f t="shared" si="2"/>
        <v>2.6400462962962945E-2</v>
      </c>
      <c r="AG28" s="51">
        <v>6</v>
      </c>
    </row>
    <row r="29" spans="2:33" ht="15.6" x14ac:dyDescent="0.3">
      <c r="B29" s="51">
        <v>7</v>
      </c>
      <c r="C29" s="52">
        <v>0.34373842592592591</v>
      </c>
      <c r="D29" s="52">
        <f t="shared" si="3"/>
        <v>8.3449074074074536E-3</v>
      </c>
      <c r="E29" s="52">
        <f t="shared" si="9"/>
        <v>2.1064814814815147E-3</v>
      </c>
      <c r="F29" s="52" t="str">
        <f t="shared" si="10"/>
        <v/>
      </c>
      <c r="G29" s="52">
        <v>0.34584490740740742</v>
      </c>
      <c r="H29" s="52">
        <f t="shared" si="11"/>
        <v>1.4004629629629228E-3</v>
      </c>
      <c r="I29" s="52">
        <v>0.34724537037037034</v>
      </c>
      <c r="J29" s="52">
        <f t="shared" si="4"/>
        <v>1.9791666666666985E-3</v>
      </c>
      <c r="K29" s="52">
        <f t="shared" si="7"/>
        <v>5.8217592592592626E-3</v>
      </c>
      <c r="L29" s="52" t="str">
        <f t="shared" si="5"/>
        <v/>
      </c>
      <c r="M29" s="52">
        <f t="shared" si="6"/>
        <v>0.34922453703703704</v>
      </c>
      <c r="N29" s="52">
        <f t="shared" si="0"/>
        <v>5.7870370370372015E-4</v>
      </c>
      <c r="O29" s="52">
        <v>0.34980324074074076</v>
      </c>
      <c r="P29" s="43" t="s">
        <v>17</v>
      </c>
      <c r="Q29" s="52">
        <f t="shared" si="12"/>
        <v>1.9791666666666652E-2</v>
      </c>
      <c r="R29" s="53">
        <f>O31-O29</f>
        <v>5.5555555555555358E-3</v>
      </c>
      <c r="S29" s="53" t="str">
        <f>IF(V29&lt;O29,O29-V29,"")</f>
        <v/>
      </c>
      <c r="T29" s="52">
        <f>IF(V28&gt;O29,V28,O29)</f>
        <v>0.36959490740740741</v>
      </c>
      <c r="U29" s="52">
        <f>V29-T29</f>
        <v>9.6412037037036935E-3</v>
      </c>
      <c r="V29" s="52">
        <v>0.37923611111111111</v>
      </c>
      <c r="W29" s="54" t="s">
        <v>19</v>
      </c>
      <c r="X29" s="52"/>
      <c r="Y29" s="52"/>
      <c r="Z29" s="52"/>
      <c r="AA29" s="52"/>
      <c r="AB29" s="52"/>
      <c r="AC29" s="52"/>
      <c r="AD29" s="55">
        <f t="shared" si="8"/>
        <v>2.3877314814814865E-2</v>
      </c>
      <c r="AE29" s="52">
        <f t="shared" si="1"/>
        <v>1.1620370370370336E-2</v>
      </c>
      <c r="AF29" s="52">
        <f t="shared" si="2"/>
        <v>3.5497685185185202E-2</v>
      </c>
      <c r="AG29" s="51">
        <v>7</v>
      </c>
    </row>
    <row r="30" spans="2:33" ht="15.6" x14ac:dyDescent="0.3">
      <c r="B30" s="51">
        <v>8</v>
      </c>
      <c r="C30" s="52">
        <v>0.35208333333333336</v>
      </c>
      <c r="D30" s="52">
        <f t="shared" si="3"/>
        <v>1.1921296296296124E-3</v>
      </c>
      <c r="E30" s="52" t="str">
        <f t="shared" si="9"/>
        <v/>
      </c>
      <c r="F30" s="52">
        <f t="shared" si="10"/>
        <v>4.8379629629630161E-3</v>
      </c>
      <c r="G30" s="52">
        <v>0.35208333333333336</v>
      </c>
      <c r="H30" s="52">
        <f t="shared" si="11"/>
        <v>9.8379629629624654E-4</v>
      </c>
      <c r="I30" s="52">
        <v>0.35306712962962961</v>
      </c>
      <c r="J30" s="52" t="str">
        <f t="shared" si="4"/>
        <v/>
      </c>
      <c r="K30" s="52">
        <f t="shared" si="7"/>
        <v>1.4004629629629783E-3</v>
      </c>
      <c r="L30" s="52">
        <f t="shared" si="5"/>
        <v>3.263888888888844E-3</v>
      </c>
      <c r="M30" s="52">
        <f t="shared" si="6"/>
        <v>0.35306712962962961</v>
      </c>
      <c r="N30" s="52">
        <f t="shared" si="0"/>
        <v>1.3541666666667118E-3</v>
      </c>
      <c r="O30" s="52">
        <v>0.35442129629629632</v>
      </c>
      <c r="P30" s="43" t="s">
        <v>18</v>
      </c>
      <c r="Q30" s="52" t="str">
        <f t="shared" si="12"/>
        <v/>
      </c>
      <c r="R30" s="53"/>
      <c r="S30" s="53"/>
      <c r="T30" s="52"/>
      <c r="U30" s="52"/>
      <c r="V30" s="52"/>
      <c r="W30" s="54"/>
      <c r="X30" s="52"/>
      <c r="Y30" s="52"/>
      <c r="Z30" s="52"/>
      <c r="AA30" s="52"/>
      <c r="AB30" s="52"/>
      <c r="AC30" s="52"/>
      <c r="AD30" s="55">
        <f t="shared" si="8"/>
        <v>0</v>
      </c>
      <c r="AE30" s="52">
        <f t="shared" si="1"/>
        <v>2.3379629629629584E-3</v>
      </c>
      <c r="AF30" s="52">
        <f t="shared" si="2"/>
        <v>2.3379629629629584E-3</v>
      </c>
      <c r="AG30" s="51">
        <v>8</v>
      </c>
    </row>
    <row r="31" spans="2:33" ht="15.6" x14ac:dyDescent="0.3">
      <c r="B31" s="51">
        <v>9</v>
      </c>
      <c r="C31" s="52">
        <v>0.35327546296296297</v>
      </c>
      <c r="D31" s="52">
        <f t="shared" si="3"/>
        <v>4.745370370370372E-4</v>
      </c>
      <c r="E31" s="52" t="str">
        <f t="shared" si="9"/>
        <v/>
      </c>
      <c r="F31" s="52">
        <f t="shared" si="10"/>
        <v>2.083333333333659E-4</v>
      </c>
      <c r="G31" s="52">
        <v>0.35327546296296297</v>
      </c>
      <c r="H31" s="52">
        <f t="shared" si="11"/>
        <v>1.1921296296296124E-3</v>
      </c>
      <c r="I31" s="52">
        <v>0.35446759259259258</v>
      </c>
      <c r="J31" s="52" t="str">
        <f t="shared" si="4"/>
        <v/>
      </c>
      <c r="K31" s="52">
        <f t="shared" si="7"/>
        <v>1.087962962962985E-3</v>
      </c>
      <c r="L31" s="52">
        <f t="shared" si="5"/>
        <v>4.6296296296266526E-5</v>
      </c>
      <c r="M31" s="52">
        <f t="shared" si="6"/>
        <v>0.35446759259259258</v>
      </c>
      <c r="N31" s="52">
        <f t="shared" si="0"/>
        <v>8.9120370370371349E-4</v>
      </c>
      <c r="O31" s="52">
        <v>0.3553587962962963</v>
      </c>
      <c r="P31" s="43" t="s">
        <v>17</v>
      </c>
      <c r="Q31" s="52">
        <f t="shared" si="12"/>
        <v>2.387731481481481E-2</v>
      </c>
      <c r="R31" s="53">
        <f>O32-O31</f>
        <v>4.3634259259259234E-3</v>
      </c>
      <c r="S31" s="53" t="str">
        <f>IF(V31&lt;O31,O31-V31,"")</f>
        <v/>
      </c>
      <c r="T31" s="52">
        <f>V29</f>
        <v>0.37923611111111111</v>
      </c>
      <c r="U31" s="52">
        <f>V31-T31</f>
        <v>2.9745370370370394E-3</v>
      </c>
      <c r="V31" s="52">
        <v>0.38221064814814815</v>
      </c>
      <c r="W31" s="54" t="s">
        <v>19</v>
      </c>
      <c r="X31" s="52"/>
      <c r="Y31" s="52"/>
      <c r="Z31" s="52"/>
      <c r="AA31" s="52"/>
      <c r="AB31" s="52"/>
      <c r="AC31" s="52"/>
      <c r="AD31" s="55">
        <f t="shared" si="8"/>
        <v>2.387731481481481E-2</v>
      </c>
      <c r="AE31" s="52">
        <f t="shared" si="1"/>
        <v>5.0578703703703654E-3</v>
      </c>
      <c r="AF31" s="52">
        <f t="shared" si="2"/>
        <v>2.8935185185185175E-2</v>
      </c>
      <c r="AG31" s="51">
        <v>9</v>
      </c>
    </row>
    <row r="32" spans="2:33" ht="15.6" x14ac:dyDescent="0.3">
      <c r="B32" s="51">
        <v>10</v>
      </c>
      <c r="C32" s="52">
        <v>0.35375000000000001</v>
      </c>
      <c r="D32" s="52">
        <f>C33-C32</f>
        <v>2.1249999999999991E-2</v>
      </c>
      <c r="E32" s="52">
        <f t="shared" si="9"/>
        <v>7.1759259259257524E-4</v>
      </c>
      <c r="F32" s="52" t="str">
        <f t="shared" si="10"/>
        <v/>
      </c>
      <c r="G32" s="52">
        <v>0.35446759259259258</v>
      </c>
      <c r="H32" s="52">
        <f t="shared" si="11"/>
        <v>1.087962962962985E-3</v>
      </c>
      <c r="I32" s="52">
        <v>0.35555555555555557</v>
      </c>
      <c r="J32" s="52" t="str">
        <f t="shared" si="4"/>
        <v/>
      </c>
      <c r="K32" s="52">
        <f t="shared" si="7"/>
        <v>2.0312499999999956E-2</v>
      </c>
      <c r="L32" s="52">
        <f t="shared" si="5"/>
        <v>1.9675925925927151E-4</v>
      </c>
      <c r="M32" s="52">
        <f t="shared" si="6"/>
        <v>0.35555555555555557</v>
      </c>
      <c r="N32" s="52">
        <f t="shared" si="0"/>
        <v>4.1666666666666519E-3</v>
      </c>
      <c r="O32" s="52">
        <v>0.35972222222222222</v>
      </c>
      <c r="P32" s="43" t="s">
        <v>17</v>
      </c>
      <c r="Q32" s="52">
        <f t="shared" si="12"/>
        <v>2.2488425925925926E-2</v>
      </c>
      <c r="R32" s="53">
        <f t="shared" ref="R32" si="14">O33-O32</f>
        <v>1.8101851851851869E-2</v>
      </c>
      <c r="S32" s="53" t="str">
        <f>IF(V32&lt;O32,O32-V32,"")</f>
        <v/>
      </c>
      <c r="T32" s="52">
        <f>IF(V31&gt;O32,V31,O32)</f>
        <v>0.38221064814814815</v>
      </c>
      <c r="U32" s="52">
        <f>V32-T32</f>
        <v>1.0381944444444458E-2</v>
      </c>
      <c r="V32" s="52">
        <v>0.3925925925925926</v>
      </c>
      <c r="W32" s="54" t="s">
        <v>7</v>
      </c>
      <c r="X32" s="52"/>
      <c r="Y32" s="52">
        <f>V33-V32</f>
        <v>5.2662037037036757E-3</v>
      </c>
      <c r="Z32" s="52"/>
      <c r="AA32" s="52">
        <f>V32</f>
        <v>0.3925925925925926</v>
      </c>
      <c r="AB32" s="52">
        <v>1.9907407407407374E-3</v>
      </c>
      <c r="AC32" s="52">
        <f>AA32+AB32</f>
        <v>0.39458333333333334</v>
      </c>
      <c r="AD32" s="55">
        <f t="shared" si="8"/>
        <v>2.3206018518518501E-2</v>
      </c>
      <c r="AE32" s="52">
        <f t="shared" si="1"/>
        <v>1.7627314814814832E-2</v>
      </c>
      <c r="AF32" s="52">
        <f t="shared" si="2"/>
        <v>4.0833333333333333E-2</v>
      </c>
      <c r="AG32" s="51">
        <v>10</v>
      </c>
    </row>
    <row r="33" spans="2:33" ht="15.6" x14ac:dyDescent="0.3">
      <c r="B33" s="56">
        <v>11</v>
      </c>
      <c r="C33" s="57">
        <v>0.375</v>
      </c>
      <c r="D33" s="57">
        <v>6.3657407407408106E-4</v>
      </c>
      <c r="E33" s="57" t="str">
        <f t="shared" si="9"/>
        <v/>
      </c>
      <c r="F33" s="57">
        <f t="shared" si="10"/>
        <v>1.9444444444444431E-2</v>
      </c>
      <c r="G33" s="57">
        <v>0.375</v>
      </c>
      <c r="H33" s="57">
        <v>8.6805555555552472E-4</v>
      </c>
      <c r="I33" s="57">
        <f>G33+H33</f>
        <v>0.37586805555555552</v>
      </c>
      <c r="J33" s="57" t="str">
        <f t="shared" si="4"/>
        <v/>
      </c>
      <c r="K33" s="57">
        <f t="shared" si="7"/>
        <v>1.2731481481481621E-3</v>
      </c>
      <c r="L33" s="57">
        <f t="shared" si="5"/>
        <v>1.6145833333333304E-2</v>
      </c>
      <c r="M33" s="57">
        <f t="shared" si="6"/>
        <v>0.37586805555555552</v>
      </c>
      <c r="N33" s="57">
        <v>1.9560185185185652E-3</v>
      </c>
      <c r="O33" s="57">
        <f>M33+N33</f>
        <v>0.37782407407407409</v>
      </c>
      <c r="P33" s="58" t="s">
        <v>17</v>
      </c>
      <c r="Q33" s="57">
        <f t="shared" si="12"/>
        <v>1.4768518518518514E-2</v>
      </c>
      <c r="R33" s="59">
        <f>O35-O33</f>
        <v>3.8425925925925641E-3</v>
      </c>
      <c r="S33" s="59" t="str">
        <f>IF(V33&lt;O33,O33-V33,"")</f>
        <v/>
      </c>
      <c r="T33" s="57">
        <f>IF(V32&gt;O33,V32,O33)</f>
        <v>0.3925925925925926</v>
      </c>
      <c r="U33" s="57">
        <v>5.2662037037036757E-3</v>
      </c>
      <c r="V33" s="57">
        <f>T33+U33</f>
        <v>0.39785879629629628</v>
      </c>
      <c r="W33" s="60" t="s">
        <v>7</v>
      </c>
      <c r="X33" s="57"/>
      <c r="Y33" s="57">
        <f>V36-V33</f>
        <v>1.3495370370370408E-2</v>
      </c>
      <c r="Z33" s="57"/>
      <c r="AA33" s="57">
        <f>V33</f>
        <v>0.39785879629629628</v>
      </c>
      <c r="AB33" s="57">
        <v>2.5115740740740966E-3</v>
      </c>
      <c r="AC33" s="57">
        <f>AA33+AB33</f>
        <v>0.40037037037037038</v>
      </c>
      <c r="AD33" s="61">
        <f t="shared" si="8"/>
        <v>1.4768518518518514E-2</v>
      </c>
      <c r="AE33" s="57">
        <f t="shared" si="1"/>
        <v>1.0601851851851862E-2</v>
      </c>
      <c r="AF33" s="57">
        <f t="shared" si="2"/>
        <v>2.5370370370370376E-2</v>
      </c>
      <c r="AG33" s="56">
        <v>11</v>
      </c>
    </row>
    <row r="34" spans="2:33" ht="15.6" x14ac:dyDescent="0.3">
      <c r="B34" s="56">
        <v>12</v>
      </c>
      <c r="C34" s="57">
        <f>C33+D33</f>
        <v>0.37563657407407408</v>
      </c>
      <c r="D34" s="57">
        <v>1.3078703703703343E-3</v>
      </c>
      <c r="E34" s="57">
        <f>IF(G34&gt;C34,G34-C34,"")</f>
        <v>2.3148148148144365E-4</v>
      </c>
      <c r="F34" s="57" t="str">
        <f>IF(G34&gt;I33,G34-I33,"")</f>
        <v/>
      </c>
      <c r="G34" s="57">
        <f>IF(I33&gt;C34,I33,C34)</f>
        <v>0.37586805555555552</v>
      </c>
      <c r="H34" s="57">
        <v>1.2731481481481621E-3</v>
      </c>
      <c r="I34" s="57">
        <f t="shared" ref="I34:I42" si="15">G34+H34</f>
        <v>0.37714120370370369</v>
      </c>
      <c r="J34" s="57">
        <f t="shared" si="4"/>
        <v>6.828703703704031E-4</v>
      </c>
      <c r="K34" s="57">
        <f t="shared" si="7"/>
        <v>9.1435185185184675E-4</v>
      </c>
      <c r="L34" s="57" t="str">
        <f t="shared" si="5"/>
        <v/>
      </c>
      <c r="M34" s="57">
        <f t="shared" si="6"/>
        <v>0.37782407407407409</v>
      </c>
      <c r="N34" s="57">
        <v>2.5231481481481355E-3</v>
      </c>
      <c r="O34" s="57">
        <f t="shared" ref="O34:O42" si="16">M34+N34</f>
        <v>0.38034722222222223</v>
      </c>
      <c r="P34" s="58" t="s">
        <v>18</v>
      </c>
      <c r="Q34" s="57" t="str">
        <f t="shared" si="12"/>
        <v/>
      </c>
      <c r="R34" s="59"/>
      <c r="S34" s="59"/>
      <c r="T34" s="57"/>
      <c r="U34" s="57"/>
      <c r="V34" s="57"/>
      <c r="W34" s="60"/>
      <c r="X34" s="57"/>
      <c r="Y34" s="57"/>
      <c r="Z34" s="57"/>
      <c r="AA34" s="57"/>
      <c r="AB34" s="57"/>
      <c r="AC34" s="57"/>
      <c r="AD34" s="61">
        <f t="shared" si="8"/>
        <v>9.1435185185184675E-4</v>
      </c>
      <c r="AE34" s="57">
        <f t="shared" si="1"/>
        <v>3.7962962962962976E-3</v>
      </c>
      <c r="AF34" s="57">
        <f t="shared" si="2"/>
        <v>4.7106481481481444E-3</v>
      </c>
      <c r="AG34" s="56">
        <v>12</v>
      </c>
    </row>
    <row r="35" spans="2:33" ht="15.6" x14ac:dyDescent="0.3">
      <c r="B35" s="56">
        <v>13</v>
      </c>
      <c r="C35" s="57">
        <f t="shared" ref="C35:C41" si="17">C34+D34</f>
        <v>0.37694444444444442</v>
      </c>
      <c r="D35" s="57">
        <v>1.0185185185185297E-3</v>
      </c>
      <c r="E35" s="57">
        <f t="shared" si="9"/>
        <v>1.9675925925927151E-4</v>
      </c>
      <c r="F35" s="57" t="str">
        <f t="shared" si="10"/>
        <v/>
      </c>
      <c r="G35" s="57">
        <f t="shared" ref="G35:G42" si="18">IF(I34&gt;C35,I34,C35)</f>
        <v>0.37714120370370369</v>
      </c>
      <c r="H35" s="57">
        <v>9.1435185185184675E-4</v>
      </c>
      <c r="I35" s="57">
        <f t="shared" si="15"/>
        <v>0.37805555555555553</v>
      </c>
      <c r="J35" s="57">
        <f t="shared" si="4"/>
        <v>2.2916666666666918E-3</v>
      </c>
      <c r="K35" s="57">
        <f t="shared" si="7"/>
        <v>3.4027777777778101E-3</v>
      </c>
      <c r="L35" s="57" t="str">
        <f t="shared" si="5"/>
        <v/>
      </c>
      <c r="M35" s="57">
        <f t="shared" si="6"/>
        <v>0.38034722222222223</v>
      </c>
      <c r="N35" s="57">
        <v>1.3194444444444287E-3</v>
      </c>
      <c r="O35" s="57">
        <f t="shared" si="16"/>
        <v>0.38166666666666665</v>
      </c>
      <c r="P35" s="58" t="s">
        <v>17</v>
      </c>
      <c r="Q35" s="57">
        <f t="shared" si="12"/>
        <v>1.6192129629629626E-2</v>
      </c>
      <c r="R35" s="59">
        <f>O36-O35</f>
        <v>3.0208333333333615E-3</v>
      </c>
      <c r="S35" s="59" t="str">
        <f t="shared" ref="S35:S40" si="19">IF(V35&lt;O35,O35-V35,"")</f>
        <v/>
      </c>
      <c r="T35" s="57">
        <f>V33</f>
        <v>0.39785879629629628</v>
      </c>
      <c r="U35" s="57">
        <v>2.4074074074074137E-3</v>
      </c>
      <c r="V35" s="57">
        <f t="shared" ref="V35:V42" si="20">T35+U35</f>
        <v>0.40026620370370369</v>
      </c>
      <c r="W35" s="60" t="s">
        <v>19</v>
      </c>
      <c r="X35" s="57"/>
      <c r="Y35" s="57"/>
      <c r="Z35" s="57"/>
      <c r="AA35" s="57"/>
      <c r="AB35" s="57"/>
      <c r="AC35" s="57"/>
      <c r="AD35" s="61">
        <f t="shared" si="8"/>
        <v>1.8680555555555589E-2</v>
      </c>
      <c r="AE35" s="57">
        <f t="shared" si="1"/>
        <v>4.6412037037036891E-3</v>
      </c>
      <c r="AF35" s="57">
        <f t="shared" si="2"/>
        <v>2.3321759259259278E-2</v>
      </c>
      <c r="AG35" s="56">
        <v>13</v>
      </c>
    </row>
    <row r="36" spans="2:33" ht="15.6" x14ac:dyDescent="0.3">
      <c r="B36" s="56">
        <v>14</v>
      </c>
      <c r="C36" s="57">
        <f t="shared" si="17"/>
        <v>0.37796296296296295</v>
      </c>
      <c r="D36" s="57">
        <v>4.4328703703703787E-3</v>
      </c>
      <c r="E36" s="57">
        <f t="shared" si="9"/>
        <v>9.2592592592588563E-5</v>
      </c>
      <c r="F36" s="57" t="str">
        <f t="shared" si="10"/>
        <v/>
      </c>
      <c r="G36" s="57">
        <f t="shared" si="18"/>
        <v>0.37805555555555553</v>
      </c>
      <c r="H36" s="57">
        <v>3.4027777777778101E-3</v>
      </c>
      <c r="I36" s="57">
        <f t="shared" si="15"/>
        <v>0.38145833333333334</v>
      </c>
      <c r="J36" s="57">
        <f t="shared" si="4"/>
        <v>2.0833333333331039E-4</v>
      </c>
      <c r="K36" s="57">
        <f t="shared" si="7"/>
        <v>1.6666666666666496E-3</v>
      </c>
      <c r="L36" s="57" t="str">
        <f t="shared" si="5"/>
        <v/>
      </c>
      <c r="M36" s="57">
        <f t="shared" si="6"/>
        <v>0.38166666666666665</v>
      </c>
      <c r="N36" s="57">
        <v>3.0208333333333615E-3</v>
      </c>
      <c r="O36" s="57">
        <f t="shared" si="16"/>
        <v>0.38468750000000002</v>
      </c>
      <c r="P36" s="58" t="s">
        <v>17</v>
      </c>
      <c r="Q36" s="57">
        <f t="shared" si="12"/>
        <v>1.5578703703703678E-2</v>
      </c>
      <c r="R36" s="59">
        <f t="shared" ref="R36:R39" si="21">O37-O36</f>
        <v>2.0833333333333259E-3</v>
      </c>
      <c r="S36" s="59" t="str">
        <f t="shared" si="19"/>
        <v/>
      </c>
      <c r="T36" s="57">
        <f>IF(V35&gt;O36,V35,O36)</f>
        <v>0.40026620370370369</v>
      </c>
      <c r="U36" s="57">
        <v>1.1087962962962994E-2</v>
      </c>
      <c r="V36" s="57">
        <f t="shared" si="20"/>
        <v>0.41135416666666669</v>
      </c>
      <c r="W36" s="60" t="s">
        <v>7</v>
      </c>
      <c r="X36" s="57"/>
      <c r="Y36" s="57">
        <f>V38-V36</f>
        <v>1.5138888888888868E-2</v>
      </c>
      <c r="Z36" s="57">
        <f>AA36-AC33</f>
        <v>1.0983796296296311E-2</v>
      </c>
      <c r="AA36" s="57">
        <f>V36</f>
        <v>0.41135416666666669</v>
      </c>
      <c r="AB36" s="57">
        <v>5.4745370370370416E-3</v>
      </c>
      <c r="AC36" s="57">
        <f>AA36+AB36</f>
        <v>0.41682870370370373</v>
      </c>
      <c r="AD36" s="61">
        <f t="shared" si="8"/>
        <v>1.5879629629629577E-2</v>
      </c>
      <c r="AE36" s="57">
        <f t="shared" si="1"/>
        <v>2.2986111111111207E-2</v>
      </c>
      <c r="AF36" s="57">
        <f t="shared" si="2"/>
        <v>3.8865740740740784E-2</v>
      </c>
      <c r="AG36" s="56">
        <v>14</v>
      </c>
    </row>
    <row r="37" spans="2:33" ht="15.6" x14ac:dyDescent="0.3">
      <c r="B37" s="56">
        <v>15</v>
      </c>
      <c r="C37" s="57">
        <f t="shared" si="17"/>
        <v>0.38239583333333332</v>
      </c>
      <c r="D37" s="57">
        <v>5.2430555555555425E-3</v>
      </c>
      <c r="E37" s="57" t="str">
        <f t="shared" si="9"/>
        <v/>
      </c>
      <c r="F37" s="57">
        <f t="shared" si="10"/>
        <v>9.3749999999998002E-4</v>
      </c>
      <c r="G37" s="57">
        <f t="shared" si="18"/>
        <v>0.38239583333333332</v>
      </c>
      <c r="H37" s="57">
        <v>7.2916666666666963E-4</v>
      </c>
      <c r="I37" s="57">
        <f t="shared" si="15"/>
        <v>0.38312499999999999</v>
      </c>
      <c r="J37" s="57">
        <f t="shared" si="4"/>
        <v>1.5625000000000222E-3</v>
      </c>
      <c r="K37" s="57">
        <f t="shared" si="7"/>
        <v>5.3703703703703587E-3</v>
      </c>
      <c r="L37" s="57" t="str">
        <f t="shared" si="5"/>
        <v/>
      </c>
      <c r="M37" s="57">
        <f t="shared" si="6"/>
        <v>0.38468750000000002</v>
      </c>
      <c r="N37" s="57">
        <v>2.0833333333333259E-3</v>
      </c>
      <c r="O37" s="57">
        <f t="shared" si="16"/>
        <v>0.38677083333333334</v>
      </c>
      <c r="P37" s="58" t="s">
        <v>17</v>
      </c>
      <c r="Q37" s="57">
        <f t="shared" si="12"/>
        <v>2.4583333333333346E-2</v>
      </c>
      <c r="R37" s="59">
        <f t="shared" si="21"/>
        <v>2.7430555555555403E-3</v>
      </c>
      <c r="S37" s="59" t="str">
        <f t="shared" si="19"/>
        <v/>
      </c>
      <c r="T37" s="57">
        <f>IF(V36&gt;O37,V36,O37)</f>
        <v>0.41135416666666669</v>
      </c>
      <c r="U37" s="57">
        <v>3.8773148148147918E-3</v>
      </c>
      <c r="V37" s="57">
        <f t="shared" si="20"/>
        <v>0.41523148148148148</v>
      </c>
      <c r="W37" s="60" t="s">
        <v>19</v>
      </c>
      <c r="X37" s="57"/>
      <c r="Y37" s="57"/>
      <c r="Z37" s="57"/>
      <c r="AA37" s="57"/>
      <c r="AB37" s="57"/>
      <c r="AC37" s="57"/>
      <c r="AD37" s="61">
        <f t="shared" si="8"/>
        <v>2.6145833333333368E-2</v>
      </c>
      <c r="AE37" s="57">
        <f t="shared" si="1"/>
        <v>6.6898148148147873E-3</v>
      </c>
      <c r="AF37" s="57">
        <f t="shared" si="2"/>
        <v>3.2835648148148155E-2</v>
      </c>
      <c r="AG37" s="56">
        <v>15</v>
      </c>
    </row>
    <row r="38" spans="2:33" ht="15.6" x14ac:dyDescent="0.3">
      <c r="B38" s="56">
        <v>16</v>
      </c>
      <c r="C38" s="57">
        <f t="shared" si="17"/>
        <v>0.38763888888888887</v>
      </c>
      <c r="D38" s="57">
        <v>4.3981481481480955E-4</v>
      </c>
      <c r="E38" s="57" t="str">
        <f t="shared" si="9"/>
        <v/>
      </c>
      <c r="F38" s="57">
        <f t="shared" si="10"/>
        <v>4.5138888888888729E-3</v>
      </c>
      <c r="G38" s="57">
        <f t="shared" si="18"/>
        <v>0.38763888888888887</v>
      </c>
      <c r="H38" s="57">
        <v>8.5648148148148584E-4</v>
      </c>
      <c r="I38" s="57">
        <f t="shared" si="15"/>
        <v>0.38849537037037035</v>
      </c>
      <c r="J38" s="57" t="str">
        <f t="shared" si="4"/>
        <v/>
      </c>
      <c r="K38" s="57">
        <f t="shared" si="7"/>
        <v>9.490740740740744E-4</v>
      </c>
      <c r="L38" s="57">
        <f t="shared" si="5"/>
        <v>1.7245370370370106E-3</v>
      </c>
      <c r="M38" s="57">
        <f t="shared" si="6"/>
        <v>0.38849537037037035</v>
      </c>
      <c r="N38" s="57">
        <v>1.0185185185185297E-3</v>
      </c>
      <c r="O38" s="57">
        <f t="shared" si="16"/>
        <v>0.38951388888888888</v>
      </c>
      <c r="P38" s="58" t="s">
        <v>17</v>
      </c>
      <c r="Q38" s="57">
        <f t="shared" si="12"/>
        <v>2.5717592592592597E-2</v>
      </c>
      <c r="R38" s="59">
        <f t="shared" si="21"/>
        <v>1.5856481481481555E-3</v>
      </c>
      <c r="S38" s="59" t="str">
        <f t="shared" si="19"/>
        <v/>
      </c>
      <c r="T38" s="57">
        <f>IF(V37&gt;O38,V37,O38)</f>
        <v>0.41523148148148148</v>
      </c>
      <c r="U38" s="57">
        <v>1.1261574074074077E-2</v>
      </c>
      <c r="V38" s="57">
        <f t="shared" si="20"/>
        <v>0.42649305555555556</v>
      </c>
      <c r="W38" s="60" t="s">
        <v>7</v>
      </c>
      <c r="X38" s="57"/>
      <c r="Y38" s="57">
        <f>V40-V38</f>
        <v>1.8784722222222217E-2</v>
      </c>
      <c r="Z38" s="57">
        <f>AA38-AC36</f>
        <v>9.6643518518518268E-3</v>
      </c>
      <c r="AA38" s="57">
        <f>V38</f>
        <v>0.42649305555555556</v>
      </c>
      <c r="AB38" s="57">
        <v>4.2592592592592959E-3</v>
      </c>
      <c r="AC38" s="57">
        <f>AA38+AB38</f>
        <v>0.43075231481481485</v>
      </c>
      <c r="AD38" s="61">
        <f t="shared" si="8"/>
        <v>2.5717592592592597E-2</v>
      </c>
      <c r="AE38" s="57">
        <f t="shared" si="1"/>
        <v>1.7395833333333388E-2</v>
      </c>
      <c r="AF38" s="57">
        <f t="shared" si="2"/>
        <v>4.3113425925925986E-2</v>
      </c>
      <c r="AG38" s="56">
        <v>16</v>
      </c>
    </row>
    <row r="39" spans="2:33" ht="15.6" x14ac:dyDescent="0.3">
      <c r="B39" s="56">
        <v>17</v>
      </c>
      <c r="C39" s="57">
        <f t="shared" si="17"/>
        <v>0.38807870370370368</v>
      </c>
      <c r="D39" s="57">
        <v>7.4074074074076401E-4</v>
      </c>
      <c r="E39" s="57">
        <f t="shared" si="9"/>
        <v>4.1666666666667629E-4</v>
      </c>
      <c r="F39" s="57" t="str">
        <f t="shared" si="10"/>
        <v/>
      </c>
      <c r="G39" s="57">
        <f t="shared" si="18"/>
        <v>0.38849537037037035</v>
      </c>
      <c r="H39" s="57">
        <v>9.490740740740744E-4</v>
      </c>
      <c r="I39" s="57">
        <f t="shared" si="15"/>
        <v>0.38944444444444443</v>
      </c>
      <c r="J39" s="57">
        <f t="shared" si="4"/>
        <v>6.94444444444553E-5</v>
      </c>
      <c r="K39" s="57">
        <f t="shared" si="7"/>
        <v>1.4004629629629783E-3</v>
      </c>
      <c r="L39" s="57" t="str">
        <f t="shared" si="5"/>
        <v/>
      </c>
      <c r="M39" s="57">
        <f t="shared" si="6"/>
        <v>0.38951388888888888</v>
      </c>
      <c r="N39" s="57">
        <v>1.5856481481481555E-3</v>
      </c>
      <c r="O39" s="57">
        <f t="shared" si="16"/>
        <v>0.39109953703703704</v>
      </c>
      <c r="P39" s="58" t="s">
        <v>17</v>
      </c>
      <c r="Q39" s="57">
        <f t="shared" si="12"/>
        <v>3.5393518518518519E-2</v>
      </c>
      <c r="R39" s="59">
        <f t="shared" si="21"/>
        <v>1.9560185185185097E-3</v>
      </c>
      <c r="S39" s="59" t="str">
        <f t="shared" si="19"/>
        <v/>
      </c>
      <c r="T39" s="57">
        <f>IF(V38&gt;O39,V38,O39)</f>
        <v>0.42649305555555556</v>
      </c>
      <c r="U39" s="57">
        <v>4.5949074074074225E-3</v>
      </c>
      <c r="V39" s="57">
        <f t="shared" si="20"/>
        <v>0.43108796296296298</v>
      </c>
      <c r="W39" s="60" t="s">
        <v>19</v>
      </c>
      <c r="X39" s="57"/>
      <c r="Y39" s="57"/>
      <c r="Z39" s="57"/>
      <c r="AA39" s="57"/>
      <c r="AB39" s="57"/>
      <c r="AC39" s="57"/>
      <c r="AD39" s="61">
        <f t="shared" si="8"/>
        <v>3.587962962962965E-2</v>
      </c>
      <c r="AE39" s="57">
        <f t="shared" si="1"/>
        <v>7.1296296296296524E-3</v>
      </c>
      <c r="AF39" s="57">
        <f t="shared" si="2"/>
        <v>4.3009259259259303E-2</v>
      </c>
      <c r="AG39" s="56">
        <v>17</v>
      </c>
    </row>
    <row r="40" spans="2:33" ht="15.6" x14ac:dyDescent="0.3">
      <c r="B40" s="56">
        <v>18</v>
      </c>
      <c r="C40" s="57">
        <f t="shared" si="17"/>
        <v>0.38881944444444444</v>
      </c>
      <c r="D40" s="57">
        <v>1.6435185185185164E-3</v>
      </c>
      <c r="E40" s="57">
        <f t="shared" si="9"/>
        <v>6.2499999999998668E-4</v>
      </c>
      <c r="F40" s="57" t="str">
        <f t="shared" si="10"/>
        <v/>
      </c>
      <c r="G40" s="57">
        <f t="shared" si="18"/>
        <v>0.38944444444444443</v>
      </c>
      <c r="H40" s="57">
        <v>1.4004629629629783E-3</v>
      </c>
      <c r="I40" s="57">
        <f t="shared" si="15"/>
        <v>0.3908449074074074</v>
      </c>
      <c r="J40" s="57">
        <f t="shared" si="4"/>
        <v>2.5462962962963243E-4</v>
      </c>
      <c r="K40" s="57">
        <f t="shared" si="7"/>
        <v>5.0925925925926485E-4</v>
      </c>
      <c r="L40" s="57" t="str">
        <f t="shared" si="5"/>
        <v/>
      </c>
      <c r="M40" s="57">
        <f t="shared" si="6"/>
        <v>0.39109953703703704</v>
      </c>
      <c r="N40" s="57">
        <v>1.9560185185185097E-3</v>
      </c>
      <c r="O40" s="57">
        <f t="shared" si="16"/>
        <v>0.39305555555555555</v>
      </c>
      <c r="P40" s="58" t="s">
        <v>17</v>
      </c>
      <c r="Q40" s="57">
        <f t="shared" si="12"/>
        <v>3.8032407407407431E-2</v>
      </c>
      <c r="R40" s="59">
        <f>O42-O40</f>
        <v>2.6967592592592737E-3</v>
      </c>
      <c r="S40" s="59" t="str">
        <f t="shared" si="19"/>
        <v/>
      </c>
      <c r="T40" s="57">
        <f>IF(V39&gt;O40,V39,O40)</f>
        <v>0.43108796296296298</v>
      </c>
      <c r="U40" s="57">
        <v>1.4189814814814794E-2</v>
      </c>
      <c r="V40" s="57">
        <f t="shared" si="20"/>
        <v>0.44527777777777777</v>
      </c>
      <c r="W40" s="60" t="s">
        <v>7</v>
      </c>
      <c r="X40" s="57"/>
      <c r="Y40" s="57">
        <f>V42-V40</f>
        <v>6.6782407407407485E-3</v>
      </c>
      <c r="Z40" s="57">
        <f>AA40-AC38</f>
        <v>1.4525462962962921E-2</v>
      </c>
      <c r="AA40" s="57">
        <f>V40</f>
        <v>0.44527777777777777</v>
      </c>
      <c r="AB40" s="57">
        <v>6.5625000000000266E-3</v>
      </c>
      <c r="AC40" s="57">
        <f>AA40+AB40</f>
        <v>0.4518402777777778</v>
      </c>
      <c r="AD40" s="61">
        <f t="shared" si="8"/>
        <v>3.8912037037037051E-2</v>
      </c>
      <c r="AE40" s="57">
        <f t="shared" si="1"/>
        <v>2.4108796296296309E-2</v>
      </c>
      <c r="AF40" s="57">
        <f t="shared" si="2"/>
        <v>6.3020833333333359E-2</v>
      </c>
      <c r="AG40" s="56">
        <v>18</v>
      </c>
    </row>
    <row r="41" spans="2:33" ht="15.6" x14ac:dyDescent="0.3">
      <c r="B41" s="56">
        <v>19</v>
      </c>
      <c r="C41" s="57">
        <f t="shared" si="17"/>
        <v>0.39046296296296296</v>
      </c>
      <c r="D41" s="57">
        <v>1.388888888889106E-4</v>
      </c>
      <c r="E41" s="57">
        <f t="shared" si="9"/>
        <v>3.8194444444444864E-4</v>
      </c>
      <c r="F41" s="57" t="str">
        <f t="shared" si="10"/>
        <v/>
      </c>
      <c r="G41" s="57">
        <f t="shared" si="18"/>
        <v>0.3908449074074074</v>
      </c>
      <c r="H41" s="57">
        <v>5.0925925925926485E-4</v>
      </c>
      <c r="I41" s="57">
        <f t="shared" si="15"/>
        <v>0.39135416666666667</v>
      </c>
      <c r="J41" s="57">
        <f t="shared" si="4"/>
        <v>1.7013888888888773E-3</v>
      </c>
      <c r="K41" s="57">
        <f t="shared" si="7"/>
        <v>4.745370370370372E-4</v>
      </c>
      <c r="L41" s="57" t="str">
        <f t="shared" si="5"/>
        <v/>
      </c>
      <c r="M41" s="57">
        <f t="shared" si="6"/>
        <v>0.39305555555555555</v>
      </c>
      <c r="N41" s="57">
        <v>1.5625000000000222E-3</v>
      </c>
      <c r="O41" s="57">
        <f t="shared" si="16"/>
        <v>0.39461805555555557</v>
      </c>
      <c r="P41" s="58" t="s">
        <v>18</v>
      </c>
      <c r="Q41" s="57" t="str">
        <f t="shared" si="12"/>
        <v/>
      </c>
      <c r="R41" s="59"/>
      <c r="S41" s="59"/>
      <c r="T41" s="57"/>
      <c r="U41" s="57"/>
      <c r="V41" s="57"/>
      <c r="W41" s="60"/>
      <c r="X41" s="57"/>
      <c r="Y41" s="57"/>
      <c r="Z41" s="57" t="s">
        <v>20</v>
      </c>
      <c r="AA41" s="57"/>
      <c r="AB41" s="57"/>
      <c r="AC41" s="57"/>
      <c r="AD41" s="61">
        <f t="shared" si="8"/>
        <v>2.0833333333333259E-3</v>
      </c>
      <c r="AE41" s="57">
        <f t="shared" si="1"/>
        <v>2.0717592592592871E-3</v>
      </c>
      <c r="AF41" s="57">
        <f t="shared" si="2"/>
        <v>4.155092592592613E-3</v>
      </c>
      <c r="AG41" s="56">
        <v>19</v>
      </c>
    </row>
    <row r="42" spans="2:33" ht="15.6" x14ac:dyDescent="0.3">
      <c r="B42" s="56">
        <v>20</v>
      </c>
      <c r="C42" s="57">
        <f>C41+D41</f>
        <v>0.39060185185185187</v>
      </c>
      <c r="D42" s="57">
        <f>C43-C42</f>
        <v>2.6064814814814818E-2</v>
      </c>
      <c r="E42" s="57">
        <f t="shared" si="9"/>
        <v>7.5231481481480289E-4</v>
      </c>
      <c r="F42" s="57" t="str">
        <f t="shared" si="10"/>
        <v/>
      </c>
      <c r="G42" s="57">
        <f t="shared" si="18"/>
        <v>0.39135416666666667</v>
      </c>
      <c r="H42" s="57">
        <v>4.745370370370372E-4</v>
      </c>
      <c r="I42" s="57">
        <f t="shared" si="15"/>
        <v>0.39182870370370371</v>
      </c>
      <c r="J42" s="57">
        <f t="shared" si="4"/>
        <v>2.7893518518518623E-3</v>
      </c>
      <c r="K42" s="57">
        <f t="shared" si="7"/>
        <v>2.5462962962962965E-2</v>
      </c>
      <c r="L42" s="57" t="str">
        <f t="shared" si="5"/>
        <v/>
      </c>
      <c r="M42" s="57">
        <f t="shared" si="6"/>
        <v>0.39461805555555557</v>
      </c>
      <c r="N42" s="57">
        <v>1.1342592592592515E-3</v>
      </c>
      <c r="O42" s="57">
        <f t="shared" si="16"/>
        <v>0.39575231481481482</v>
      </c>
      <c r="P42" s="58" t="s">
        <v>17</v>
      </c>
      <c r="Q42" s="57">
        <f t="shared" si="12"/>
        <v>4.9525462962962952E-2</v>
      </c>
      <c r="R42" s="59">
        <f>O45-O42</f>
        <v>2.7812499999999962E-2</v>
      </c>
      <c r="S42" s="59" t="str">
        <f>IF(V42&lt;O42,O42-V42,"")</f>
        <v/>
      </c>
      <c r="T42" s="57">
        <f>V40</f>
        <v>0.44527777777777777</v>
      </c>
      <c r="U42" s="57">
        <v>6.6782407407407485E-3</v>
      </c>
      <c r="V42" s="57">
        <f t="shared" si="20"/>
        <v>0.45195601851851852</v>
      </c>
      <c r="W42" s="60" t="s">
        <v>7</v>
      </c>
      <c r="X42" s="57"/>
      <c r="Y42" s="57">
        <f>V48-V42</f>
        <v>1.3437499999999991E-2</v>
      </c>
      <c r="Z42" s="57">
        <f>AA42-AC40</f>
        <v>1.1574074074072183E-4</v>
      </c>
      <c r="AA42" s="57">
        <f>V42</f>
        <v>0.45195601851851852</v>
      </c>
      <c r="AB42" s="57">
        <v>1.2152777777778012E-3</v>
      </c>
      <c r="AC42" s="57">
        <f>AA42+AB42</f>
        <v>0.45317129629629632</v>
      </c>
      <c r="AD42" s="61">
        <f t="shared" si="8"/>
        <v>5.3067129629629617E-2</v>
      </c>
      <c r="AE42" s="57">
        <f t="shared" si="1"/>
        <v>9.5023148148148384E-3</v>
      </c>
      <c r="AF42" s="57">
        <f t="shared" si="2"/>
        <v>6.2569444444444455E-2</v>
      </c>
      <c r="AG42" s="56">
        <v>20</v>
      </c>
    </row>
    <row r="43" spans="2:33" ht="15.6" x14ac:dyDescent="0.3">
      <c r="B43" s="62">
        <v>21</v>
      </c>
      <c r="C43" s="63">
        <v>0.41666666666666669</v>
      </c>
      <c r="D43" s="63">
        <v>5.0925925925926485E-4</v>
      </c>
      <c r="E43" s="63" t="str">
        <f t="shared" si="9"/>
        <v/>
      </c>
      <c r="F43" s="63">
        <f t="shared" si="10"/>
        <v>2.4837962962962978E-2</v>
      </c>
      <c r="G43" s="63">
        <f t="shared" ref="G43:G47" si="22">IF(C43&gt;I42,C43,I42)</f>
        <v>0.41666666666666669</v>
      </c>
      <c r="H43" s="63">
        <v>6.2499999999998668E-4</v>
      </c>
      <c r="I43" s="63">
        <f>G43+H43</f>
        <v>0.41729166666666667</v>
      </c>
      <c r="J43" s="63" t="str">
        <f t="shared" si="4"/>
        <v/>
      </c>
      <c r="K43" s="63">
        <f t="shared" si="7"/>
        <v>8.5648148148148584E-4</v>
      </c>
      <c r="L43" s="63">
        <f t="shared" si="5"/>
        <v>2.1539351851851851E-2</v>
      </c>
      <c r="M43" s="63">
        <f t="shared" si="6"/>
        <v>0.41729166666666667</v>
      </c>
      <c r="N43" s="63">
        <v>1.4004629629629228E-3</v>
      </c>
      <c r="O43" s="63">
        <f>M43+N43</f>
        <v>0.41869212962962959</v>
      </c>
      <c r="P43" s="64" t="s">
        <v>18</v>
      </c>
      <c r="Q43" s="63" t="str">
        <f t="shared" si="12"/>
        <v/>
      </c>
      <c r="R43" s="65"/>
      <c r="S43" s="65"/>
      <c r="T43" s="63"/>
      <c r="U43" s="63"/>
      <c r="V43" s="63"/>
      <c r="W43" s="66"/>
      <c r="X43" s="63"/>
      <c r="Y43" s="63"/>
      <c r="Z43" s="63" t="s">
        <v>20</v>
      </c>
      <c r="AA43" s="63"/>
      <c r="AB43" s="63"/>
      <c r="AC43" s="63"/>
      <c r="AD43" s="67">
        <f t="shared" si="8"/>
        <v>0</v>
      </c>
      <c r="AE43" s="63">
        <f t="shared" si="1"/>
        <v>2.0254629629629095E-3</v>
      </c>
      <c r="AF43" s="63">
        <f t="shared" si="2"/>
        <v>2.0254629629629095E-3</v>
      </c>
      <c r="AG43" s="62">
        <v>21</v>
      </c>
    </row>
    <row r="44" spans="2:33" ht="15.6" x14ac:dyDescent="0.3">
      <c r="B44" s="62">
        <v>22</v>
      </c>
      <c r="C44" s="63">
        <f>C43+D43</f>
        <v>0.41717592592592595</v>
      </c>
      <c r="D44" s="63">
        <v>4.2824074074073737E-3</v>
      </c>
      <c r="E44" s="63">
        <f t="shared" si="9"/>
        <v>1.1574074074072183E-4</v>
      </c>
      <c r="F44" s="63" t="str">
        <f t="shared" si="10"/>
        <v/>
      </c>
      <c r="G44" s="63">
        <f t="shared" si="22"/>
        <v>0.41729166666666667</v>
      </c>
      <c r="H44" s="63">
        <v>8.5648148148148584E-4</v>
      </c>
      <c r="I44" s="63">
        <f t="shared" ref="I44:I52" si="23">G44+H44</f>
        <v>0.41814814814814816</v>
      </c>
      <c r="J44" s="63">
        <f t="shared" si="4"/>
        <v>5.4398148148143699E-4</v>
      </c>
      <c r="K44" s="63">
        <f t="shared" si="7"/>
        <v>4.0740740740740633E-3</v>
      </c>
      <c r="L44" s="63" t="str">
        <f t="shared" si="5"/>
        <v/>
      </c>
      <c r="M44" s="63">
        <f t="shared" si="6"/>
        <v>0.41869212962962959</v>
      </c>
      <c r="N44" s="63">
        <v>2.2106481481481977E-3</v>
      </c>
      <c r="O44" s="63">
        <f t="shared" ref="O44:O52" si="24">M44+N44</f>
        <v>0.42090277777777779</v>
      </c>
      <c r="P44" s="64" t="s">
        <v>18</v>
      </c>
      <c r="Q44" s="63" t="str">
        <f t="shared" si="12"/>
        <v/>
      </c>
      <c r="R44" s="65"/>
      <c r="S44" s="65"/>
      <c r="T44" s="63"/>
      <c r="U44" s="63"/>
      <c r="V44" s="63"/>
      <c r="W44" s="66"/>
      <c r="X44" s="63"/>
      <c r="Y44" s="63"/>
      <c r="Z44" s="63" t="s">
        <v>20</v>
      </c>
      <c r="AA44" s="63"/>
      <c r="AB44" s="63"/>
      <c r="AC44" s="63"/>
      <c r="AD44" s="67">
        <f t="shared" si="8"/>
        <v>6.5972222222215882E-4</v>
      </c>
      <c r="AE44" s="63">
        <f t="shared" si="1"/>
        <v>3.0671296296296835E-3</v>
      </c>
      <c r="AF44" s="63">
        <f t="shared" si="2"/>
        <v>3.7268518518518423E-3</v>
      </c>
      <c r="AG44" s="62">
        <v>22</v>
      </c>
    </row>
    <row r="45" spans="2:33" ht="15.6" x14ac:dyDescent="0.3">
      <c r="B45" s="62">
        <v>23</v>
      </c>
      <c r="C45" s="63">
        <f t="shared" ref="C45:C52" si="25">C44+D44</f>
        <v>0.42145833333333332</v>
      </c>
      <c r="D45" s="63">
        <v>7.8703703703708605E-4</v>
      </c>
      <c r="E45" s="63" t="str">
        <f t="shared" si="9"/>
        <v/>
      </c>
      <c r="F45" s="63">
        <f t="shared" si="10"/>
        <v>3.310185185185166E-3</v>
      </c>
      <c r="G45" s="63">
        <f t="shared" si="22"/>
        <v>0.42145833333333332</v>
      </c>
      <c r="H45" s="63">
        <v>7.6388888888889728E-4</v>
      </c>
      <c r="I45" s="63">
        <f t="shared" si="23"/>
        <v>0.42222222222222222</v>
      </c>
      <c r="J45" s="63" t="str">
        <f t="shared" si="4"/>
        <v/>
      </c>
      <c r="K45" s="63">
        <f t="shared" si="7"/>
        <v>6.2500000000004219E-4</v>
      </c>
      <c r="L45" s="63">
        <f t="shared" si="5"/>
        <v>1.3194444444444287E-3</v>
      </c>
      <c r="M45" s="63">
        <f t="shared" si="6"/>
        <v>0.42222222222222222</v>
      </c>
      <c r="N45" s="63">
        <v>1.3425925925925619E-3</v>
      </c>
      <c r="O45" s="63">
        <f t="shared" si="24"/>
        <v>0.42356481481481478</v>
      </c>
      <c r="P45" s="68" t="s">
        <v>17</v>
      </c>
      <c r="Q45" s="63">
        <f t="shared" si="12"/>
        <v>2.8391203703703738E-2</v>
      </c>
      <c r="R45" s="65">
        <f>O47-O45</f>
        <v>3.2754629629629939E-3</v>
      </c>
      <c r="S45" s="65" t="str">
        <f>IF(V45&lt;O45,O45-V45,"")</f>
        <v/>
      </c>
      <c r="T45" s="63">
        <f>V42</f>
        <v>0.45195601851851852</v>
      </c>
      <c r="U45" s="63">
        <v>2.4074074074074137E-3</v>
      </c>
      <c r="V45" s="63">
        <f>T45+U45</f>
        <v>0.45436342592592593</v>
      </c>
      <c r="W45" s="66" t="s">
        <v>19</v>
      </c>
      <c r="X45" s="63"/>
      <c r="Y45" s="63"/>
      <c r="Z45" s="63"/>
      <c r="AA45" s="63"/>
      <c r="AB45" s="63"/>
      <c r="AC45" s="63"/>
      <c r="AD45" s="67">
        <f t="shared" si="8"/>
        <v>2.8391203703703738E-2</v>
      </c>
      <c r="AE45" s="63">
        <f t="shared" si="1"/>
        <v>4.5138888888888729E-3</v>
      </c>
      <c r="AF45" s="63">
        <f t="shared" si="2"/>
        <v>3.2905092592592611E-2</v>
      </c>
      <c r="AG45" s="62">
        <v>23</v>
      </c>
    </row>
    <row r="46" spans="2:33" ht="15.6" x14ac:dyDescent="0.3">
      <c r="B46" s="62">
        <v>24</v>
      </c>
      <c r="C46" s="63">
        <f t="shared" si="25"/>
        <v>0.42224537037037041</v>
      </c>
      <c r="D46" s="63">
        <v>3.2407407407403221E-4</v>
      </c>
      <c r="E46" s="63" t="str">
        <f t="shared" si="9"/>
        <v/>
      </c>
      <c r="F46" s="63">
        <f t="shared" si="10"/>
        <v>2.3148148148188774E-5</v>
      </c>
      <c r="G46" s="63">
        <f t="shared" si="22"/>
        <v>0.42224537037037041</v>
      </c>
      <c r="H46" s="63">
        <v>6.0185185185185341E-4</v>
      </c>
      <c r="I46" s="63">
        <f t="shared" si="23"/>
        <v>0.42284722222222226</v>
      </c>
      <c r="J46" s="63">
        <f t="shared" si="4"/>
        <v>7.1759259259251973E-4</v>
      </c>
      <c r="K46" s="63">
        <f t="shared" si="7"/>
        <v>7.1759259259257524E-4</v>
      </c>
      <c r="L46" s="63" t="str">
        <f t="shared" si="5"/>
        <v/>
      </c>
      <c r="M46" s="63">
        <f t="shared" si="6"/>
        <v>0.42356481481481478</v>
      </c>
      <c r="N46" s="63">
        <v>2.1180555555555536E-3</v>
      </c>
      <c r="O46" s="63">
        <f t="shared" si="24"/>
        <v>0.42568287037037034</v>
      </c>
      <c r="P46" s="68" t="s">
        <v>18</v>
      </c>
      <c r="Q46" s="63"/>
      <c r="R46" s="65"/>
      <c r="S46" s="65"/>
      <c r="T46" s="63"/>
      <c r="U46" s="63"/>
      <c r="V46" s="63"/>
      <c r="W46" s="66"/>
      <c r="X46" s="63"/>
      <c r="Y46" s="63"/>
      <c r="Z46" s="63" t="s">
        <v>20</v>
      </c>
      <c r="AA46" s="63"/>
      <c r="AB46" s="63"/>
      <c r="AC46" s="63"/>
      <c r="AD46" s="67">
        <f t="shared" si="8"/>
        <v>7.1759259259251973E-4</v>
      </c>
      <c r="AE46" s="63">
        <f t="shared" si="1"/>
        <v>2.719907407407407E-3</v>
      </c>
      <c r="AF46" s="63">
        <f t="shared" si="2"/>
        <v>3.4374999999999267E-3</v>
      </c>
      <c r="AG46" s="62">
        <v>24</v>
      </c>
    </row>
    <row r="47" spans="2:33" ht="15.6" x14ac:dyDescent="0.3">
      <c r="B47" s="62">
        <v>25</v>
      </c>
      <c r="C47" s="63">
        <f t="shared" si="25"/>
        <v>0.42256944444444444</v>
      </c>
      <c r="D47" s="63">
        <v>1.3506944444444446E-2</v>
      </c>
      <c r="E47" s="63">
        <f t="shared" si="9"/>
        <v>2.777777777778212E-4</v>
      </c>
      <c r="F47" s="63" t="str">
        <f t="shared" si="10"/>
        <v/>
      </c>
      <c r="G47" s="63">
        <f t="shared" si="22"/>
        <v>0.42284722222222226</v>
      </c>
      <c r="H47" s="63">
        <v>7.1759259259257524E-4</v>
      </c>
      <c r="I47" s="63">
        <f t="shared" si="23"/>
        <v>0.42356481481481484</v>
      </c>
      <c r="J47" s="63">
        <f t="shared" si="4"/>
        <v>2.1180555555554981E-3</v>
      </c>
      <c r="K47" s="63">
        <f t="shared" si="7"/>
        <v>1.4074074074074072E-2</v>
      </c>
      <c r="L47" s="63" t="str">
        <f t="shared" si="5"/>
        <v/>
      </c>
      <c r="M47" s="63">
        <f t="shared" si="6"/>
        <v>0.42568287037037034</v>
      </c>
      <c r="N47" s="63">
        <v>1.1574074074074403E-3</v>
      </c>
      <c r="O47" s="63">
        <f t="shared" si="24"/>
        <v>0.42684027777777778</v>
      </c>
      <c r="P47" s="68" t="s">
        <v>17</v>
      </c>
      <c r="Q47" s="63">
        <f t="shared" ref="Q47:Q62" si="26">IF(T47&gt;O47,T47-O47,"")</f>
        <v>2.7523148148148158E-2</v>
      </c>
      <c r="R47" s="65">
        <f>O48-O47</f>
        <v>1.2465277777777783E-2</v>
      </c>
      <c r="S47" s="65" t="str">
        <f t="shared" ref="S47:S53" si="27">IF(V47&lt;O47,O47-V47,"")</f>
        <v/>
      </c>
      <c r="T47" s="63">
        <f>V45</f>
        <v>0.45436342592592593</v>
      </c>
      <c r="U47" s="63">
        <v>3.2638888888888995E-3</v>
      </c>
      <c r="V47" s="63">
        <f t="shared" ref="V47:V52" si="28">T47+U47</f>
        <v>0.45762731481481483</v>
      </c>
      <c r="W47" s="66" t="s">
        <v>19</v>
      </c>
      <c r="X47" s="63"/>
      <c r="Y47" s="63"/>
      <c r="Z47" s="63"/>
      <c r="AA47" s="63"/>
      <c r="AB47" s="63"/>
      <c r="AC47" s="63"/>
      <c r="AD47" s="67">
        <f t="shared" si="8"/>
        <v>2.9918981481481477E-2</v>
      </c>
      <c r="AE47" s="63">
        <f t="shared" si="1"/>
        <v>5.138888888888915E-3</v>
      </c>
      <c r="AF47" s="63">
        <f t="shared" si="2"/>
        <v>3.5057870370370392E-2</v>
      </c>
      <c r="AG47" s="62">
        <v>25</v>
      </c>
    </row>
    <row r="48" spans="2:33" ht="15.6" x14ac:dyDescent="0.3">
      <c r="B48" s="62">
        <v>26</v>
      </c>
      <c r="C48" s="63">
        <f t="shared" si="25"/>
        <v>0.43607638888888889</v>
      </c>
      <c r="D48" s="63">
        <v>5.0347222222222321E-3</v>
      </c>
      <c r="E48" s="63" t="str">
        <f>IF(G48&gt;C48,G48-C48,"")</f>
        <v/>
      </c>
      <c r="F48" s="63">
        <f>IF(G48&gt;I47,G48-I47,"")</f>
        <v>1.251157407407405E-2</v>
      </c>
      <c r="G48" s="63">
        <f>IF(C48&gt;I47,C48,I47)</f>
        <v>0.43607638888888889</v>
      </c>
      <c r="H48" s="63">
        <v>1.5625000000000222E-3</v>
      </c>
      <c r="I48" s="63">
        <f t="shared" si="23"/>
        <v>0.43763888888888891</v>
      </c>
      <c r="J48" s="63" t="str">
        <f t="shared" si="4"/>
        <v/>
      </c>
      <c r="K48" s="63">
        <f t="shared" si="7"/>
        <v>4.3402777777777901E-3</v>
      </c>
      <c r="L48" s="63">
        <f t="shared" si="5"/>
        <v>1.0798611111111134E-2</v>
      </c>
      <c r="M48" s="63">
        <f t="shared" si="6"/>
        <v>0.43763888888888891</v>
      </c>
      <c r="N48" s="63">
        <v>1.6666666666666496E-3</v>
      </c>
      <c r="O48" s="63">
        <f t="shared" si="24"/>
        <v>0.43930555555555556</v>
      </c>
      <c r="P48" s="68" t="s">
        <v>17</v>
      </c>
      <c r="Q48" s="63">
        <f t="shared" si="26"/>
        <v>1.8321759259259274E-2</v>
      </c>
      <c r="R48" s="65">
        <f t="shared" ref="R48:R52" si="29">O49-O48</f>
        <v>3.7384259259259367E-3</v>
      </c>
      <c r="S48" s="65" t="str">
        <f t="shared" si="27"/>
        <v/>
      </c>
      <c r="T48" s="63">
        <f t="shared" ref="T48:T53" si="30">IF(V47&gt;O48,V47,O48)</f>
        <v>0.45762731481481483</v>
      </c>
      <c r="U48" s="63">
        <v>7.766203703703678E-3</v>
      </c>
      <c r="V48" s="63">
        <f t="shared" si="28"/>
        <v>0.46539351851851851</v>
      </c>
      <c r="W48" s="66" t="s">
        <v>7</v>
      </c>
      <c r="X48" s="63"/>
      <c r="Y48" s="63">
        <f>V49-V48</f>
        <v>8.0902777777777657E-3</v>
      </c>
      <c r="Z48" s="63">
        <f>AA48-AC42</f>
        <v>1.222222222222219E-2</v>
      </c>
      <c r="AA48" s="63">
        <f>V48</f>
        <v>0.46539351851851851</v>
      </c>
      <c r="AB48" s="63">
        <v>4.9189814814814548E-3</v>
      </c>
      <c r="AC48" s="63">
        <f>AA48+AB48</f>
        <v>0.47031249999999997</v>
      </c>
      <c r="AD48" s="67">
        <f t="shared" si="8"/>
        <v>1.8321759259259274E-2</v>
      </c>
      <c r="AE48" s="63">
        <f t="shared" si="1"/>
        <v>1.5914351851851805E-2</v>
      </c>
      <c r="AF48" s="63">
        <f t="shared" si="2"/>
        <v>3.4236111111111078E-2</v>
      </c>
      <c r="AG48" s="62">
        <v>26</v>
      </c>
    </row>
    <row r="49" spans="2:33" ht="15.6" x14ac:dyDescent="0.3">
      <c r="B49" s="62">
        <v>27</v>
      </c>
      <c r="C49" s="63">
        <f t="shared" si="25"/>
        <v>0.44111111111111112</v>
      </c>
      <c r="D49" s="63">
        <v>3.2638888888888995E-3</v>
      </c>
      <c r="E49" s="63" t="str">
        <f>IF(G49&gt;C49,G49-C49,"")</f>
        <v/>
      </c>
      <c r="F49" s="63">
        <f>IF(G49&gt;I48,G49-I48,"")</f>
        <v>3.4722222222222099E-3</v>
      </c>
      <c r="G49" s="63">
        <f>IF(C49&gt;I48,C49,I48)</f>
        <v>0.44111111111111112</v>
      </c>
      <c r="H49" s="63">
        <v>8.6805555555558023E-4</v>
      </c>
      <c r="I49" s="63">
        <f t="shared" si="23"/>
        <v>0.4419791666666667</v>
      </c>
      <c r="J49" s="63" t="str">
        <f t="shared" si="4"/>
        <v/>
      </c>
      <c r="K49" s="63">
        <f t="shared" si="7"/>
        <v>3.0902777777777612E-3</v>
      </c>
      <c r="L49" s="63">
        <f t="shared" si="5"/>
        <v>2.6736111111111405E-3</v>
      </c>
      <c r="M49" s="63">
        <f t="shared" si="6"/>
        <v>0.4419791666666667</v>
      </c>
      <c r="N49" s="63">
        <v>1.0648148148147962E-3</v>
      </c>
      <c r="O49" s="63">
        <f t="shared" si="24"/>
        <v>0.4430439814814815</v>
      </c>
      <c r="P49" s="68" t="s">
        <v>17</v>
      </c>
      <c r="Q49" s="63">
        <f t="shared" si="26"/>
        <v>2.2349537037037015E-2</v>
      </c>
      <c r="R49" s="65">
        <f t="shared" si="29"/>
        <v>4.1782407407407463E-3</v>
      </c>
      <c r="S49" s="65" t="str">
        <f t="shared" si="27"/>
        <v/>
      </c>
      <c r="T49" s="63">
        <f t="shared" si="30"/>
        <v>0.46539351851851851</v>
      </c>
      <c r="U49" s="63">
        <v>8.0902777777777657E-3</v>
      </c>
      <c r="V49" s="63">
        <f t="shared" si="28"/>
        <v>0.47348379629629628</v>
      </c>
      <c r="W49" s="66" t="s">
        <v>7</v>
      </c>
      <c r="X49" s="63"/>
      <c r="Y49" s="63">
        <f t="shared" ref="Y49:Y51" si="31">V50-V49</f>
        <v>7.0833333333333304E-3</v>
      </c>
      <c r="Z49" s="63">
        <f>AA49-AC48</f>
        <v>3.1712962962963109E-3</v>
      </c>
      <c r="AA49" s="63">
        <f>V49</f>
        <v>0.47348379629629628</v>
      </c>
      <c r="AB49" s="63">
        <v>2.3495370370370371E-3</v>
      </c>
      <c r="AC49" s="63">
        <f>AA49+AB49</f>
        <v>0.47583333333333333</v>
      </c>
      <c r="AD49" s="67">
        <f t="shared" si="8"/>
        <v>2.2349537037037015E-2</v>
      </c>
      <c r="AE49" s="63">
        <f t="shared" si="1"/>
        <v>1.2372685185185179E-2</v>
      </c>
      <c r="AF49" s="63">
        <f t="shared" si="2"/>
        <v>3.4722222222222196E-2</v>
      </c>
      <c r="AG49" s="62">
        <v>27</v>
      </c>
    </row>
    <row r="50" spans="2:33" ht="15.6" x14ac:dyDescent="0.3">
      <c r="B50" s="62">
        <v>28</v>
      </c>
      <c r="C50" s="63">
        <f t="shared" si="25"/>
        <v>0.44437500000000002</v>
      </c>
      <c r="D50" s="63">
        <v>2.5462962962963243E-4</v>
      </c>
      <c r="E50" s="63" t="str">
        <f>IF(G50&gt;C50,G50-C50,"")</f>
        <v/>
      </c>
      <c r="F50" s="63">
        <f>IF(G50&gt;I49,G50-I49,"")</f>
        <v>2.3958333333333193E-3</v>
      </c>
      <c r="G50" s="63">
        <f>IF(C50&gt;I49,C50,I49)</f>
        <v>0.44437500000000002</v>
      </c>
      <c r="H50" s="63">
        <v>6.9444444444444198E-4</v>
      </c>
      <c r="I50" s="63">
        <f t="shared" si="23"/>
        <v>0.44506944444444446</v>
      </c>
      <c r="J50" s="63" t="str">
        <f t="shared" si="4"/>
        <v/>
      </c>
      <c r="K50" s="63">
        <f t="shared" si="7"/>
        <v>8.5648148148148584E-4</v>
      </c>
      <c r="L50" s="63">
        <f t="shared" si="5"/>
        <v>2.025462962962965E-3</v>
      </c>
      <c r="M50" s="63">
        <f t="shared" si="6"/>
        <v>0.44506944444444446</v>
      </c>
      <c r="N50" s="63">
        <v>2.1527777777777812E-3</v>
      </c>
      <c r="O50" s="63">
        <f t="shared" si="24"/>
        <v>0.44722222222222224</v>
      </c>
      <c r="P50" s="68" t="s">
        <v>17</v>
      </c>
      <c r="Q50" s="63">
        <f t="shared" si="26"/>
        <v>2.6261574074074034E-2</v>
      </c>
      <c r="R50" s="65">
        <f t="shared" si="29"/>
        <v>1.4583333333333393E-3</v>
      </c>
      <c r="S50" s="65" t="str">
        <f t="shared" si="27"/>
        <v/>
      </c>
      <c r="T50" s="63">
        <f t="shared" si="30"/>
        <v>0.47348379629629628</v>
      </c>
      <c r="U50" s="63">
        <v>7.0833333333333304E-3</v>
      </c>
      <c r="V50" s="63">
        <f t="shared" si="28"/>
        <v>0.48056712962962961</v>
      </c>
      <c r="W50" s="66" t="s">
        <v>7</v>
      </c>
      <c r="X50" s="63"/>
      <c r="Y50" s="63">
        <f t="shared" si="31"/>
        <v>5.0115740740740988E-3</v>
      </c>
      <c r="Z50" s="63">
        <f>AA50-AC49</f>
        <v>4.7337962962962776E-3</v>
      </c>
      <c r="AA50" s="63">
        <f>V50</f>
        <v>0.48056712962962961</v>
      </c>
      <c r="AB50" s="63">
        <v>4.5138888888888173E-3</v>
      </c>
      <c r="AC50" s="63">
        <f>AA50+AB50</f>
        <v>0.48508101851851843</v>
      </c>
      <c r="AD50" s="67">
        <f t="shared" si="8"/>
        <v>2.6261574074074034E-2</v>
      </c>
      <c r="AE50" s="63">
        <f t="shared" si="1"/>
        <v>1.4444444444444371E-2</v>
      </c>
      <c r="AF50" s="63">
        <f t="shared" si="2"/>
        <v>4.0706018518518405E-2</v>
      </c>
      <c r="AG50" s="62">
        <v>28</v>
      </c>
    </row>
    <row r="51" spans="2:33" ht="15.6" x14ac:dyDescent="0.3">
      <c r="B51" s="62">
        <v>29</v>
      </c>
      <c r="C51" s="63">
        <f t="shared" si="25"/>
        <v>0.44462962962962965</v>
      </c>
      <c r="D51" s="63">
        <v>1.1689814814814792E-3</v>
      </c>
      <c r="E51" s="63">
        <f>IF(G51&gt;C51,G51-C51,"")</f>
        <v>4.3981481481480955E-4</v>
      </c>
      <c r="F51" s="63" t="str">
        <f>IF(G51&gt;I50,G51-I50,"")</f>
        <v/>
      </c>
      <c r="G51" s="63">
        <f>IF(C51&gt;I50,C51,I50)</f>
        <v>0.44506944444444446</v>
      </c>
      <c r="H51" s="63">
        <v>8.5648148148148584E-4</v>
      </c>
      <c r="I51" s="63">
        <f t="shared" si="23"/>
        <v>0.44592592592592595</v>
      </c>
      <c r="J51" s="63">
        <f t="shared" si="4"/>
        <v>1.2962962962962954E-3</v>
      </c>
      <c r="K51" s="63">
        <f t="shared" si="7"/>
        <v>1.2962962962962954E-3</v>
      </c>
      <c r="L51" s="63" t="str">
        <f t="shared" si="5"/>
        <v/>
      </c>
      <c r="M51" s="63">
        <f t="shared" si="6"/>
        <v>0.44722222222222224</v>
      </c>
      <c r="N51" s="63">
        <v>1.4583333333333393E-3</v>
      </c>
      <c r="O51" s="63">
        <f t="shared" si="24"/>
        <v>0.44868055555555558</v>
      </c>
      <c r="P51" s="68" t="s">
        <v>17</v>
      </c>
      <c r="Q51" s="63">
        <f t="shared" si="26"/>
        <v>3.1886574074074026E-2</v>
      </c>
      <c r="R51" s="65">
        <f t="shared" si="29"/>
        <v>1.2152777777777457E-3</v>
      </c>
      <c r="S51" s="65" t="str">
        <f t="shared" si="27"/>
        <v/>
      </c>
      <c r="T51" s="63">
        <f t="shared" si="30"/>
        <v>0.48056712962962961</v>
      </c>
      <c r="U51" s="63">
        <v>5.0115740740740988E-3</v>
      </c>
      <c r="V51" s="63">
        <f t="shared" si="28"/>
        <v>0.48557870370370371</v>
      </c>
      <c r="W51" s="66" t="s">
        <v>7</v>
      </c>
      <c r="X51" s="63"/>
      <c r="Y51" s="63">
        <f t="shared" si="31"/>
        <v>5.5787037037037246E-3</v>
      </c>
      <c r="Z51" s="63">
        <f>AA51-AC50</f>
        <v>4.9768518518528149E-4</v>
      </c>
      <c r="AA51" s="63">
        <f>V51</f>
        <v>0.48557870370370371</v>
      </c>
      <c r="AB51" s="63">
        <v>3.2060185185185386E-3</v>
      </c>
      <c r="AC51" s="63">
        <f>AA51+AB51</f>
        <v>0.48878472222222225</v>
      </c>
      <c r="AD51" s="67">
        <f t="shared" si="8"/>
        <v>3.362268518518513E-2</v>
      </c>
      <c r="AE51" s="63">
        <f t="shared" si="1"/>
        <v>1.0532407407407463E-2</v>
      </c>
      <c r="AF51" s="63">
        <f t="shared" si="2"/>
        <v>4.4155092592592593E-2</v>
      </c>
      <c r="AG51" s="62">
        <v>29</v>
      </c>
    </row>
    <row r="52" spans="2:33" ht="15.6" x14ac:dyDescent="0.3">
      <c r="B52" s="62">
        <v>30</v>
      </c>
      <c r="C52" s="63">
        <f t="shared" si="25"/>
        <v>0.44579861111111113</v>
      </c>
      <c r="D52" s="63">
        <f>C53-C52</f>
        <v>1.2534722222222183E-2</v>
      </c>
      <c r="E52" s="63">
        <f t="shared" ref="E52:E60" si="32">IF(G52&gt;C52,G52-C52,"")</f>
        <v>1.2731481481481621E-4</v>
      </c>
      <c r="F52" s="63" t="str">
        <f t="shared" ref="F52:F60" si="33">IF(G52&gt;I51,G52-I51,"")</f>
        <v/>
      </c>
      <c r="G52" s="63">
        <f t="shared" ref="G52:G60" si="34">IF(C52&gt;I51,C52,I51)</f>
        <v>0.44592592592592595</v>
      </c>
      <c r="H52" s="63">
        <v>1.2962962962962954E-3</v>
      </c>
      <c r="I52" s="63">
        <f t="shared" si="23"/>
        <v>0.44722222222222224</v>
      </c>
      <c r="J52" s="63">
        <f t="shared" si="4"/>
        <v>1.4583333333333393E-3</v>
      </c>
      <c r="K52" s="63">
        <f t="shared" si="7"/>
        <v>1.2268518518518456E-2</v>
      </c>
      <c r="L52" s="63" t="str">
        <f t="shared" si="5"/>
        <v/>
      </c>
      <c r="M52" s="63">
        <f t="shared" si="6"/>
        <v>0.44868055555555558</v>
      </c>
      <c r="N52" s="63">
        <v>1.2152777777777457E-3</v>
      </c>
      <c r="O52" s="63">
        <f t="shared" si="24"/>
        <v>0.44989583333333333</v>
      </c>
      <c r="P52" s="68" t="s">
        <v>17</v>
      </c>
      <c r="Q52" s="63">
        <f t="shared" si="26"/>
        <v>3.5682870370370379E-2</v>
      </c>
      <c r="R52" s="65">
        <f t="shared" si="29"/>
        <v>1.1087962962962938E-2</v>
      </c>
      <c r="S52" s="65" t="str">
        <f t="shared" si="27"/>
        <v/>
      </c>
      <c r="T52" s="63">
        <f t="shared" si="30"/>
        <v>0.48557870370370371</v>
      </c>
      <c r="U52" s="63">
        <v>5.5787037037037246E-3</v>
      </c>
      <c r="V52" s="63">
        <f t="shared" si="28"/>
        <v>0.49115740740740743</v>
      </c>
      <c r="W52" s="66" t="s">
        <v>7</v>
      </c>
      <c r="X52" s="63"/>
      <c r="Y52" s="63">
        <f>V55-V52</f>
        <v>1.0023148148148087E-2</v>
      </c>
      <c r="Z52" s="63">
        <f>AA52-AC51</f>
        <v>2.372685185185186E-3</v>
      </c>
      <c r="AA52" s="63">
        <f>V52</f>
        <v>0.49115740740740743</v>
      </c>
      <c r="AB52" s="63">
        <v>2.2685185185185031E-3</v>
      </c>
      <c r="AC52" s="63">
        <f>AA52+AB52</f>
        <v>0.49342592592592593</v>
      </c>
      <c r="AD52" s="67">
        <f t="shared" si="8"/>
        <v>3.7268518518518534E-2</v>
      </c>
      <c r="AE52" s="63">
        <f t="shared" si="1"/>
        <v>1.0358796296296269E-2</v>
      </c>
      <c r="AF52" s="63">
        <f t="shared" si="2"/>
        <v>4.7627314814814803E-2</v>
      </c>
      <c r="AG52" s="62">
        <v>30</v>
      </c>
    </row>
    <row r="53" spans="2:33" ht="15.6" x14ac:dyDescent="0.3">
      <c r="B53" s="69">
        <v>31</v>
      </c>
      <c r="C53" s="70">
        <v>0.45833333333333331</v>
      </c>
      <c r="D53" s="70">
        <v>5.6712962962962576E-4</v>
      </c>
      <c r="E53" s="70" t="str">
        <f t="shared" si="32"/>
        <v/>
      </c>
      <c r="F53" s="70">
        <f t="shared" si="33"/>
        <v>1.1111111111111072E-2</v>
      </c>
      <c r="G53" s="70">
        <f t="shared" si="34"/>
        <v>0.45833333333333331</v>
      </c>
      <c r="H53" s="70">
        <v>1.1574074074073848E-3</v>
      </c>
      <c r="I53" s="70">
        <f>G53+H53</f>
        <v>0.4594907407407407</v>
      </c>
      <c r="J53" s="70" t="str">
        <f t="shared" si="4"/>
        <v/>
      </c>
      <c r="K53" s="70">
        <f t="shared" si="7"/>
        <v>1.782407407407427E-3</v>
      </c>
      <c r="L53" s="70">
        <f t="shared" si="5"/>
        <v>9.5949074074073715E-3</v>
      </c>
      <c r="M53" s="70">
        <f t="shared" si="6"/>
        <v>0.4594907407407407</v>
      </c>
      <c r="N53" s="70">
        <v>1.4930555555555669E-3</v>
      </c>
      <c r="O53" s="70">
        <f>M53+N53</f>
        <v>0.46098379629629627</v>
      </c>
      <c r="P53" s="71" t="s">
        <v>17</v>
      </c>
      <c r="Q53" s="70">
        <f t="shared" si="26"/>
        <v>3.0173611111111165E-2</v>
      </c>
      <c r="R53" s="72">
        <f>O55-O53</f>
        <v>2.615740740740724E-3</v>
      </c>
      <c r="S53" s="72" t="str">
        <f t="shared" si="27"/>
        <v/>
      </c>
      <c r="T53" s="70">
        <f t="shared" si="30"/>
        <v>0.49115740740740743</v>
      </c>
      <c r="U53" s="70">
        <v>4.9999999999999489E-3</v>
      </c>
      <c r="V53" s="70">
        <f>T53+U53</f>
        <v>0.49615740740740738</v>
      </c>
      <c r="W53" s="73" t="s">
        <v>19</v>
      </c>
      <c r="X53" s="70"/>
      <c r="Y53" s="70"/>
      <c r="Z53" s="70"/>
      <c r="AA53" s="70"/>
      <c r="AB53" s="70"/>
      <c r="AC53" s="70"/>
      <c r="AD53" s="74">
        <f t="shared" si="8"/>
        <v>3.0173611111111165E-2</v>
      </c>
      <c r="AE53" s="70">
        <f t="shared" si="1"/>
        <v>7.6504629629629006E-3</v>
      </c>
      <c r="AF53" s="70">
        <f t="shared" si="2"/>
        <v>3.7824074074074066E-2</v>
      </c>
      <c r="AG53" s="69">
        <v>31</v>
      </c>
    </row>
    <row r="54" spans="2:33" ht="15.6" x14ac:dyDescent="0.3">
      <c r="B54" s="69">
        <v>32</v>
      </c>
      <c r="C54" s="70">
        <f>C53+D53</f>
        <v>0.45890046296296294</v>
      </c>
      <c r="D54" s="70">
        <v>2.0717592592592315E-3</v>
      </c>
      <c r="E54" s="70">
        <f t="shared" si="32"/>
        <v>5.9027777777775903E-4</v>
      </c>
      <c r="F54" s="70" t="str">
        <f t="shared" si="33"/>
        <v/>
      </c>
      <c r="G54" s="70">
        <f t="shared" si="34"/>
        <v>0.4594907407407407</v>
      </c>
      <c r="H54" s="70">
        <v>1.782407407407427E-3</v>
      </c>
      <c r="I54" s="70">
        <f t="shared" ref="I54:I62" si="35">G54+H54</f>
        <v>0.46127314814814813</v>
      </c>
      <c r="J54" s="70" t="str">
        <f t="shared" si="4"/>
        <v/>
      </c>
      <c r="K54" s="70">
        <f t="shared" si="7"/>
        <v>9.9537037037034093E-4</v>
      </c>
      <c r="L54" s="70">
        <f t="shared" si="5"/>
        <v>2.8935185185186008E-4</v>
      </c>
      <c r="M54" s="70">
        <f t="shared" si="6"/>
        <v>0.46127314814814813</v>
      </c>
      <c r="N54" s="70">
        <v>1.4930555555555669E-3</v>
      </c>
      <c r="O54" s="70">
        <f t="shared" ref="O54:O62" si="36">M54+N54</f>
        <v>0.46276620370370369</v>
      </c>
      <c r="P54" s="71" t="s">
        <v>18</v>
      </c>
      <c r="Q54" s="70" t="str">
        <f t="shared" si="26"/>
        <v/>
      </c>
      <c r="R54" s="72"/>
      <c r="S54" s="72"/>
      <c r="T54" s="70"/>
      <c r="U54" s="70"/>
      <c r="V54" s="70"/>
      <c r="W54" s="73"/>
      <c r="X54" s="70"/>
      <c r="Y54" s="70"/>
      <c r="Z54" s="70" t="s">
        <v>20</v>
      </c>
      <c r="AA54" s="70"/>
      <c r="AB54" s="70"/>
      <c r="AC54" s="70"/>
      <c r="AD54" s="74">
        <f t="shared" si="8"/>
        <v>5.9027777777775903E-4</v>
      </c>
      <c r="AE54" s="70">
        <f t="shared" si="1"/>
        <v>3.2754629629629939E-3</v>
      </c>
      <c r="AF54" s="70">
        <f t="shared" si="2"/>
        <v>3.8657407407407529E-3</v>
      </c>
      <c r="AG54" s="69">
        <v>32</v>
      </c>
    </row>
    <row r="55" spans="2:33" ht="15.6" x14ac:dyDescent="0.3">
      <c r="B55" s="69">
        <v>33</v>
      </c>
      <c r="C55" s="70">
        <f t="shared" ref="C55:C62" si="37">C54+D54</f>
        <v>0.46097222222222217</v>
      </c>
      <c r="D55" s="70">
        <v>0</v>
      </c>
      <c r="E55" s="70">
        <f t="shared" si="32"/>
        <v>3.0092592592595446E-4</v>
      </c>
      <c r="F55" s="70" t="str">
        <f t="shared" si="33"/>
        <v/>
      </c>
      <c r="G55" s="70">
        <f t="shared" si="34"/>
        <v>0.46127314814814813</v>
      </c>
      <c r="H55" s="70">
        <v>9.9537037037034093E-4</v>
      </c>
      <c r="I55" s="70">
        <f t="shared" si="35"/>
        <v>0.46226851851851847</v>
      </c>
      <c r="J55" s="70">
        <f t="shared" si="4"/>
        <v>4.9768518518522598E-4</v>
      </c>
      <c r="K55" s="70">
        <f t="shared" si="7"/>
        <v>6.9444444444449749E-4</v>
      </c>
      <c r="L55" s="70" t="str">
        <f t="shared" si="5"/>
        <v/>
      </c>
      <c r="M55" s="70">
        <f t="shared" si="6"/>
        <v>0.46276620370370369</v>
      </c>
      <c r="N55" s="70">
        <v>8.3333333333329707E-4</v>
      </c>
      <c r="O55" s="70">
        <f t="shared" si="36"/>
        <v>0.46359953703703699</v>
      </c>
      <c r="P55" s="71" t="s">
        <v>17</v>
      </c>
      <c r="Q55" s="70">
        <f t="shared" si="26"/>
        <v>3.255787037037039E-2</v>
      </c>
      <c r="R55" s="72">
        <f>O56-O55</f>
        <v>2.2569444444444642E-3</v>
      </c>
      <c r="S55" s="72" t="str">
        <f t="shared" ref="S55:S62" si="38">IF(V55&lt;O55,O55-V55,"")</f>
        <v/>
      </c>
      <c r="T55" s="70">
        <f>V53</f>
        <v>0.49615740740740738</v>
      </c>
      <c r="U55" s="70">
        <v>5.0231481481481377E-3</v>
      </c>
      <c r="V55" s="70">
        <f t="shared" ref="V55:V62" si="39">T55+U55</f>
        <v>0.50118055555555552</v>
      </c>
      <c r="W55" s="73" t="s">
        <v>7</v>
      </c>
      <c r="X55" s="70"/>
      <c r="Y55" s="70">
        <f>V57-V55</f>
        <v>7.511574074074101E-3</v>
      </c>
      <c r="Z55" s="70">
        <v>2.1990740740740478E-3</v>
      </c>
      <c r="AA55" s="70">
        <f>V55</f>
        <v>0.50118055555555552</v>
      </c>
      <c r="AB55" s="70">
        <v>5.2777777777778256E-3</v>
      </c>
      <c r="AC55" s="70">
        <f>AA55+AB55</f>
        <v>0.50645833333333334</v>
      </c>
      <c r="AD55" s="74">
        <f t="shared" si="8"/>
        <v>3.335648148148157E-2</v>
      </c>
      <c r="AE55" s="70">
        <f t="shared" si="1"/>
        <v>1.2129629629629601E-2</v>
      </c>
      <c r="AF55" s="70">
        <f t="shared" si="2"/>
        <v>4.5486111111111172E-2</v>
      </c>
      <c r="AG55" s="69">
        <v>33</v>
      </c>
    </row>
    <row r="56" spans="2:33" ht="15.6" x14ac:dyDescent="0.3">
      <c r="B56" s="69">
        <v>34</v>
      </c>
      <c r="C56" s="70">
        <f t="shared" si="37"/>
        <v>0.46097222222222217</v>
      </c>
      <c r="D56" s="70">
        <v>3.5185185185185319E-3</v>
      </c>
      <c r="E56" s="70">
        <f>IF(G56&gt;C56,G56-C56,"")</f>
        <v>1.2962962962962954E-3</v>
      </c>
      <c r="F56" s="70" t="str">
        <f>IF(G56&gt;I55,G56-I55,"")</f>
        <v/>
      </c>
      <c r="G56" s="70">
        <f>IF(C56&gt;I55,C56,I55)</f>
        <v>0.46226851851851847</v>
      </c>
      <c r="H56" s="70">
        <v>6.9444444444449749E-4</v>
      </c>
      <c r="I56" s="70">
        <f t="shared" si="35"/>
        <v>0.46296296296296297</v>
      </c>
      <c r="J56" s="70">
        <f t="shared" si="4"/>
        <v>6.3657407407402555E-4</v>
      </c>
      <c r="K56" s="70">
        <f t="shared" si="7"/>
        <v>2.8124999999999956E-3</v>
      </c>
      <c r="L56" s="70" t="str">
        <f t="shared" si="5"/>
        <v/>
      </c>
      <c r="M56" s="70">
        <f t="shared" si="6"/>
        <v>0.46359953703703699</v>
      </c>
      <c r="N56" s="70">
        <v>2.2569444444444642E-3</v>
      </c>
      <c r="O56" s="70">
        <f t="shared" si="36"/>
        <v>0.46585648148148145</v>
      </c>
      <c r="P56" s="71" t="s">
        <v>17</v>
      </c>
      <c r="Q56" s="70">
        <f t="shared" si="26"/>
        <v>3.5324074074074063E-2</v>
      </c>
      <c r="R56" s="72">
        <f t="shared" ref="R56:R61" si="40">O57-O56</f>
        <v>1.9675925925926041E-3</v>
      </c>
      <c r="S56" s="72" t="str">
        <f t="shared" si="38"/>
        <v/>
      </c>
      <c r="T56" s="70">
        <f t="shared" ref="T56:T62" si="41">IF(V55&gt;O56,V55,O56)</f>
        <v>0.50118055555555552</v>
      </c>
      <c r="U56" s="70">
        <v>3.4259259259259434E-3</v>
      </c>
      <c r="V56" s="70">
        <f t="shared" si="39"/>
        <v>0.50460648148148146</v>
      </c>
      <c r="W56" s="73" t="s">
        <v>19</v>
      </c>
      <c r="X56" s="70"/>
      <c r="Y56" s="70"/>
      <c r="Z56" s="70"/>
      <c r="AA56" s="70"/>
      <c r="AB56" s="70"/>
      <c r="AC56" s="70"/>
      <c r="AD56" s="74">
        <f t="shared" si="8"/>
        <v>3.7256944444444384E-2</v>
      </c>
      <c r="AE56" s="70">
        <f t="shared" si="1"/>
        <v>6.377314814814905E-3</v>
      </c>
      <c r="AF56" s="70">
        <f t="shared" si="2"/>
        <v>4.3634259259259289E-2</v>
      </c>
      <c r="AG56" s="69">
        <v>34</v>
      </c>
    </row>
    <row r="57" spans="2:33" ht="15.6" x14ac:dyDescent="0.3">
      <c r="B57" s="69">
        <v>35</v>
      </c>
      <c r="C57" s="70">
        <f t="shared" si="37"/>
        <v>0.4644907407407407</v>
      </c>
      <c r="D57" s="70">
        <v>6.2268518518518515E-3</v>
      </c>
      <c r="E57" s="70" t="str">
        <f>IF(G57&gt;C57,G57-C57,"")</f>
        <v/>
      </c>
      <c r="F57" s="70">
        <f>IF(G57&gt;I56,G57-I56,"")</f>
        <v>1.527777777777739E-3</v>
      </c>
      <c r="G57" s="70">
        <f>IF(C57&gt;I56,C57,I56)</f>
        <v>0.4644907407407407</v>
      </c>
      <c r="H57" s="70">
        <v>1.2847222222222565E-3</v>
      </c>
      <c r="I57" s="70">
        <f t="shared" si="35"/>
        <v>0.46577546296296296</v>
      </c>
      <c r="J57" s="70">
        <f t="shared" si="4"/>
        <v>8.1018518518494176E-5</v>
      </c>
      <c r="K57" s="70">
        <f t="shared" si="7"/>
        <v>6.3194444444444331E-3</v>
      </c>
      <c r="L57" s="70" t="str">
        <f t="shared" si="5"/>
        <v/>
      </c>
      <c r="M57" s="70">
        <f t="shared" si="6"/>
        <v>0.46585648148148145</v>
      </c>
      <c r="N57" s="70">
        <v>1.9675925925926041E-3</v>
      </c>
      <c r="O57" s="70">
        <f t="shared" si="36"/>
        <v>0.46782407407407406</v>
      </c>
      <c r="P57" s="71" t="s">
        <v>17</v>
      </c>
      <c r="Q57" s="70">
        <f t="shared" si="26"/>
        <v>3.6782407407407403E-2</v>
      </c>
      <c r="R57" s="72">
        <f t="shared" si="40"/>
        <v>6.2037037037037113E-3</v>
      </c>
      <c r="S57" s="72" t="str">
        <f t="shared" si="38"/>
        <v/>
      </c>
      <c r="T57" s="70">
        <f t="shared" si="41"/>
        <v>0.50460648148148146</v>
      </c>
      <c r="U57" s="70">
        <v>4.0856481481481577E-3</v>
      </c>
      <c r="V57" s="70">
        <f t="shared" si="39"/>
        <v>0.50869212962962962</v>
      </c>
      <c r="W57" s="73" t="s">
        <v>7</v>
      </c>
      <c r="X57" s="70"/>
      <c r="Y57" s="70">
        <f>V58-V57</f>
        <v>4.2013888888888795E-3</v>
      </c>
      <c r="Z57" s="70">
        <f>AA57-AC55</f>
        <v>2.2337962962962754E-3</v>
      </c>
      <c r="AA57" s="70">
        <f>V57</f>
        <v>0.50869212962962962</v>
      </c>
      <c r="AB57" s="70">
        <v>1.5856481481481E-3</v>
      </c>
      <c r="AC57" s="70">
        <f t="shared" ref="AC57:AC62" si="42">AA57+AB57</f>
        <v>0.51027777777777772</v>
      </c>
      <c r="AD57" s="74">
        <f t="shared" si="8"/>
        <v>3.6863425925925897E-2</v>
      </c>
      <c r="AE57" s="70">
        <f t="shared" si="1"/>
        <v>8.9236111111111183E-3</v>
      </c>
      <c r="AF57" s="70">
        <f t="shared" si="2"/>
        <v>4.5787037037037015E-2</v>
      </c>
      <c r="AG57" s="69">
        <v>35</v>
      </c>
    </row>
    <row r="58" spans="2:33" ht="15.6" x14ac:dyDescent="0.3">
      <c r="B58" s="69">
        <v>36</v>
      </c>
      <c r="C58" s="70">
        <f t="shared" si="37"/>
        <v>0.47071759259259255</v>
      </c>
      <c r="D58" s="70">
        <v>5.5787037037037246E-3</v>
      </c>
      <c r="E58" s="70" t="str">
        <f t="shared" si="32"/>
        <v/>
      </c>
      <c r="F58" s="70">
        <f t="shared" si="33"/>
        <v>4.942129629629588E-3</v>
      </c>
      <c r="G58" s="70">
        <f t="shared" si="34"/>
        <v>0.47071759259259255</v>
      </c>
      <c r="H58" s="70">
        <v>1.3773148148148451E-3</v>
      </c>
      <c r="I58" s="70">
        <f t="shared" si="35"/>
        <v>0.47209490740740739</v>
      </c>
      <c r="J58" s="70" t="str">
        <f t="shared" si="4"/>
        <v/>
      </c>
      <c r="K58" s="70">
        <f t="shared" si="7"/>
        <v>5.4976851851851749E-3</v>
      </c>
      <c r="L58" s="70">
        <f t="shared" si="5"/>
        <v>4.2708333333333348E-3</v>
      </c>
      <c r="M58" s="70">
        <f t="shared" si="6"/>
        <v>0.47209490740740739</v>
      </c>
      <c r="N58" s="70">
        <v>1.9328703703703765E-3</v>
      </c>
      <c r="O58" s="70">
        <f t="shared" si="36"/>
        <v>0.47402777777777777</v>
      </c>
      <c r="P58" s="71" t="s">
        <v>17</v>
      </c>
      <c r="Q58" s="70">
        <f t="shared" si="26"/>
        <v>3.4664351851851849E-2</v>
      </c>
      <c r="R58" s="72">
        <f t="shared" si="40"/>
        <v>5.0694444444444042E-3</v>
      </c>
      <c r="S58" s="72" t="str">
        <f t="shared" si="38"/>
        <v/>
      </c>
      <c r="T58" s="70">
        <f t="shared" si="41"/>
        <v>0.50869212962962962</v>
      </c>
      <c r="U58" s="70">
        <v>4.2013888888888795E-3</v>
      </c>
      <c r="V58" s="70">
        <f t="shared" si="39"/>
        <v>0.5128935185185185</v>
      </c>
      <c r="W58" s="73" t="s">
        <v>7</v>
      </c>
      <c r="X58" s="70"/>
      <c r="Y58" s="70">
        <f>V59-V58</f>
        <v>4.0393518518518912E-3</v>
      </c>
      <c r="Z58" s="70">
        <f>AA58-AC57</f>
        <v>2.6157407407407796E-3</v>
      </c>
      <c r="AA58" s="70">
        <f>V58</f>
        <v>0.5128935185185185</v>
      </c>
      <c r="AB58" s="70">
        <v>6.6898148148147873E-3</v>
      </c>
      <c r="AC58" s="70">
        <f t="shared" si="42"/>
        <v>0.51958333333333329</v>
      </c>
      <c r="AD58" s="74">
        <f t="shared" si="8"/>
        <v>3.4664351851851849E-2</v>
      </c>
      <c r="AE58" s="70">
        <f t="shared" si="1"/>
        <v>1.4201388888888888E-2</v>
      </c>
      <c r="AF58" s="70">
        <f t="shared" si="2"/>
        <v>4.8865740740740737E-2</v>
      </c>
      <c r="AG58" s="69">
        <v>36</v>
      </c>
    </row>
    <row r="59" spans="2:33" ht="15.6" x14ac:dyDescent="0.3">
      <c r="B59" s="69">
        <v>37</v>
      </c>
      <c r="C59" s="70">
        <f t="shared" si="37"/>
        <v>0.47629629629629627</v>
      </c>
      <c r="D59" s="70">
        <v>8.4490740740739145E-4</v>
      </c>
      <c r="E59" s="70" t="str">
        <f t="shared" si="32"/>
        <v/>
      </c>
      <c r="F59" s="70">
        <f t="shared" si="33"/>
        <v>4.2013888888888795E-3</v>
      </c>
      <c r="G59" s="70">
        <f t="shared" si="34"/>
        <v>0.47629629629629627</v>
      </c>
      <c r="H59" s="70">
        <v>1.2962962962962954E-3</v>
      </c>
      <c r="I59" s="70">
        <f t="shared" si="35"/>
        <v>0.47759259259259257</v>
      </c>
      <c r="J59" s="70" t="str">
        <f t="shared" si="4"/>
        <v/>
      </c>
      <c r="K59" s="70">
        <f t="shared" si="7"/>
        <v>6.5972222222221433E-4</v>
      </c>
      <c r="L59" s="70">
        <f t="shared" si="5"/>
        <v>3.5648148148147984E-3</v>
      </c>
      <c r="M59" s="70">
        <f t="shared" si="6"/>
        <v>0.47759259259259257</v>
      </c>
      <c r="N59" s="70">
        <v>1.5046296296296058E-3</v>
      </c>
      <c r="O59" s="70">
        <f t="shared" si="36"/>
        <v>0.47909722222222217</v>
      </c>
      <c r="P59" s="71" t="s">
        <v>17</v>
      </c>
      <c r="Q59" s="70">
        <f t="shared" si="26"/>
        <v>3.3796296296296324E-2</v>
      </c>
      <c r="R59" s="72">
        <f t="shared" si="40"/>
        <v>2.3148148148148251E-3</v>
      </c>
      <c r="S59" s="72" t="str">
        <f t="shared" si="38"/>
        <v/>
      </c>
      <c r="T59" s="70">
        <f t="shared" si="41"/>
        <v>0.5128935185185185</v>
      </c>
      <c r="U59" s="70">
        <v>4.0393518518518912E-3</v>
      </c>
      <c r="V59" s="70">
        <f t="shared" si="39"/>
        <v>0.51693287037037039</v>
      </c>
      <c r="W59" s="73" t="s">
        <v>7</v>
      </c>
      <c r="X59" s="70">
        <f>IF(AC58&gt;V59,AC58-V59,"")</f>
        <v>2.6504629629628962E-3</v>
      </c>
      <c r="Y59" s="70">
        <f>V60-V59</f>
        <v>5.4050925925925863E-3</v>
      </c>
      <c r="Z59" s="70" t="s">
        <v>20</v>
      </c>
      <c r="AA59" s="70">
        <f>AC58</f>
        <v>0.51958333333333329</v>
      </c>
      <c r="AB59" s="70">
        <v>7.511574074074101E-3</v>
      </c>
      <c r="AC59" s="70">
        <f t="shared" si="42"/>
        <v>0.52709490740740739</v>
      </c>
      <c r="AD59" s="74">
        <f t="shared" si="8"/>
        <v>3.644675925925922E-2</v>
      </c>
      <c r="AE59" s="70">
        <f t="shared" si="1"/>
        <v>1.4351851851851893E-2</v>
      </c>
      <c r="AF59" s="70">
        <f t="shared" si="2"/>
        <v>5.0798611111111114E-2</v>
      </c>
      <c r="AG59" s="69">
        <v>37</v>
      </c>
    </row>
    <row r="60" spans="2:33" ht="15.6" x14ac:dyDescent="0.3">
      <c r="B60" s="69">
        <v>38</v>
      </c>
      <c r="C60" s="70">
        <f t="shared" si="37"/>
        <v>0.47714120370370366</v>
      </c>
      <c r="D60" s="70">
        <v>8.0208333333333659E-3</v>
      </c>
      <c r="E60" s="70">
        <f t="shared" si="32"/>
        <v>4.5138888888890394E-4</v>
      </c>
      <c r="F60" s="70" t="str">
        <f t="shared" si="33"/>
        <v/>
      </c>
      <c r="G60" s="70">
        <f t="shared" si="34"/>
        <v>0.47759259259259257</v>
      </c>
      <c r="H60" s="70">
        <v>6.5972222222221433E-4</v>
      </c>
      <c r="I60" s="70">
        <f t="shared" si="35"/>
        <v>0.47825231481481478</v>
      </c>
      <c r="J60" s="70">
        <f t="shared" si="4"/>
        <v>8.4490740740739145E-4</v>
      </c>
      <c r="K60" s="70">
        <f t="shared" si="7"/>
        <v>7.6157407407407285E-3</v>
      </c>
      <c r="L60" s="70" t="str">
        <f t="shared" si="5"/>
        <v/>
      </c>
      <c r="M60" s="70">
        <f t="shared" si="6"/>
        <v>0.47909722222222217</v>
      </c>
      <c r="N60" s="70">
        <v>2.3148148148148251E-3</v>
      </c>
      <c r="O60" s="70">
        <f t="shared" si="36"/>
        <v>0.481412037037037</v>
      </c>
      <c r="P60" s="71" t="s">
        <v>17</v>
      </c>
      <c r="Q60" s="70">
        <f t="shared" si="26"/>
        <v>3.552083333333339E-2</v>
      </c>
      <c r="R60" s="72">
        <f t="shared" si="40"/>
        <v>6.4004629629629828E-3</v>
      </c>
      <c r="S60" s="72" t="str">
        <f t="shared" si="38"/>
        <v/>
      </c>
      <c r="T60" s="70">
        <f t="shared" si="41"/>
        <v>0.51693287037037039</v>
      </c>
      <c r="U60" s="70">
        <v>5.4050925925925863E-3</v>
      </c>
      <c r="V60" s="70">
        <f t="shared" si="39"/>
        <v>0.52233796296296298</v>
      </c>
      <c r="W60" s="73" t="s">
        <v>7</v>
      </c>
      <c r="X60" s="70">
        <f>IF(AC59&gt;V60,AC59-V60,"")</f>
        <v>4.7569444444444109E-3</v>
      </c>
      <c r="Y60" s="70">
        <f>V61-V60</f>
        <v>5.6712962962962576E-3</v>
      </c>
      <c r="Z60" s="70" t="s">
        <v>20</v>
      </c>
      <c r="AA60" s="70">
        <f>AC59</f>
        <v>0.52709490740740739</v>
      </c>
      <c r="AB60" s="70">
        <v>4.1319444444444242E-3</v>
      </c>
      <c r="AC60" s="70">
        <f t="shared" si="42"/>
        <v>0.53122685185185181</v>
      </c>
      <c r="AD60" s="74">
        <f t="shared" si="8"/>
        <v>4.1574074074074097E-2</v>
      </c>
      <c r="AE60" s="70">
        <f t="shared" si="1"/>
        <v>1.251157407407405E-2</v>
      </c>
      <c r="AF60" s="70">
        <f t="shared" si="2"/>
        <v>5.4085648148148147E-2</v>
      </c>
      <c r="AG60" s="69">
        <v>38</v>
      </c>
    </row>
    <row r="61" spans="2:33" ht="15.6" x14ac:dyDescent="0.3">
      <c r="B61" s="69">
        <v>39</v>
      </c>
      <c r="C61" s="70">
        <f t="shared" si="37"/>
        <v>0.48516203703703703</v>
      </c>
      <c r="D61" s="70">
        <v>2.011574074074074E-2</v>
      </c>
      <c r="E61" s="70" t="str">
        <f>IF(G61&gt;C61,G61-C61,"")</f>
        <v/>
      </c>
      <c r="F61" s="70">
        <f>IF(G61&gt;I60,G61-I60,"")</f>
        <v>6.9097222222222476E-3</v>
      </c>
      <c r="G61" s="70">
        <f>IF(C61&gt;I60,C61,I60)</f>
        <v>0.48516203703703703</v>
      </c>
      <c r="H61" s="70">
        <v>7.0601851851848085E-4</v>
      </c>
      <c r="I61" s="70">
        <f t="shared" si="35"/>
        <v>0.48586805555555551</v>
      </c>
      <c r="J61" s="70" t="str">
        <f t="shared" si="4"/>
        <v/>
      </c>
      <c r="K61" s="70">
        <f>I62-I61</f>
        <v>2.0150462962962912E-2</v>
      </c>
      <c r="L61" s="70">
        <f t="shared" si="5"/>
        <v>4.4560185185185119E-3</v>
      </c>
      <c r="M61" s="70">
        <f t="shared" si="6"/>
        <v>0.48586805555555551</v>
      </c>
      <c r="N61" s="70">
        <v>1.9444444444444708E-3</v>
      </c>
      <c r="O61" s="70">
        <f t="shared" si="36"/>
        <v>0.48781249999999998</v>
      </c>
      <c r="P61" s="71" t="s">
        <v>17</v>
      </c>
      <c r="Q61" s="70">
        <f t="shared" si="26"/>
        <v>3.4525462962962994E-2</v>
      </c>
      <c r="R61" s="72">
        <f t="shared" si="40"/>
        <v>1.9652777777777741E-2</v>
      </c>
      <c r="S61" s="72" t="str">
        <f t="shared" si="38"/>
        <v/>
      </c>
      <c r="T61" s="70">
        <f t="shared" si="41"/>
        <v>0.52233796296296298</v>
      </c>
      <c r="U61" s="70">
        <v>5.6712962962962576E-3</v>
      </c>
      <c r="V61" s="70">
        <f t="shared" si="39"/>
        <v>0.52800925925925923</v>
      </c>
      <c r="W61" s="73" t="s">
        <v>7</v>
      </c>
      <c r="X61" s="70">
        <f>IF(AC60&gt;V61,AC60-V61,"")</f>
        <v>3.2175925925925775E-3</v>
      </c>
      <c r="Y61" s="70">
        <f>V62-V61</f>
        <v>8.0555555555555935E-3</v>
      </c>
      <c r="Z61" s="70" t="s">
        <v>20</v>
      </c>
      <c r="AA61" s="70">
        <f>AC60</f>
        <v>0.53122685185185181</v>
      </c>
      <c r="AB61" s="70">
        <v>3.0787037037036669E-3</v>
      </c>
      <c r="AC61" s="70">
        <f t="shared" si="42"/>
        <v>0.53430555555555548</v>
      </c>
      <c r="AD61" s="74">
        <f t="shared" si="8"/>
        <v>3.7743055555555571E-2</v>
      </c>
      <c r="AE61" s="70">
        <f t="shared" si="1"/>
        <v>1.1400462962962876E-2</v>
      </c>
      <c r="AF61" s="70">
        <f t="shared" si="2"/>
        <v>4.9143518518518448E-2</v>
      </c>
      <c r="AG61" s="69">
        <v>39</v>
      </c>
    </row>
    <row r="62" spans="2:33" ht="15.6" x14ac:dyDescent="0.3">
      <c r="B62" s="69">
        <v>40</v>
      </c>
      <c r="C62" s="70">
        <f t="shared" si="37"/>
        <v>0.50527777777777771</v>
      </c>
      <c r="D62" s="70"/>
      <c r="E62" s="70" t="str">
        <f>IF(G62&gt;C62,G62-C62,"")</f>
        <v/>
      </c>
      <c r="F62" s="70">
        <f>IF(G62&gt;I61,G62-I61,"")</f>
        <v>1.9409722222222203E-2</v>
      </c>
      <c r="G62" s="70">
        <f>IF(C62&gt;I61,C62,I61)</f>
        <v>0.50527777777777771</v>
      </c>
      <c r="H62" s="70">
        <v>7.407407407407085E-4</v>
      </c>
      <c r="I62" s="70">
        <f t="shared" si="35"/>
        <v>0.50601851851851842</v>
      </c>
      <c r="J62" s="70" t="str">
        <f t="shared" si="4"/>
        <v/>
      </c>
      <c r="K62" s="70"/>
      <c r="L62" s="70">
        <f t="shared" si="5"/>
        <v>1.8206018518518441E-2</v>
      </c>
      <c r="M62" s="70">
        <f t="shared" si="6"/>
        <v>0.50601851851851842</v>
      </c>
      <c r="N62" s="70">
        <v>1.4467592592593004E-3</v>
      </c>
      <c r="O62" s="70">
        <f t="shared" si="36"/>
        <v>0.50746527777777772</v>
      </c>
      <c r="P62" s="71" t="s">
        <v>17</v>
      </c>
      <c r="Q62" s="70">
        <f t="shared" si="26"/>
        <v>2.054398148148151E-2</v>
      </c>
      <c r="R62" s="70"/>
      <c r="S62" s="70" t="str">
        <f t="shared" si="38"/>
        <v/>
      </c>
      <c r="T62" s="70">
        <f t="shared" si="41"/>
        <v>0.52800925925925923</v>
      </c>
      <c r="U62" s="70">
        <v>8.0555555555555935E-3</v>
      </c>
      <c r="V62" s="70">
        <f t="shared" si="39"/>
        <v>0.53606481481481483</v>
      </c>
      <c r="W62" s="73" t="s">
        <v>7</v>
      </c>
      <c r="X62" s="70" t="str">
        <f>IF(AC61&gt;V62,AC61-V62,"")</f>
        <v/>
      </c>
      <c r="Y62" s="70"/>
      <c r="Z62" s="70" t="s">
        <v>20</v>
      </c>
      <c r="AA62" s="70">
        <f>V62</f>
        <v>0.53606481481481483</v>
      </c>
      <c r="AB62" s="70">
        <v>3.3333333333334103E-3</v>
      </c>
      <c r="AC62" s="70">
        <f t="shared" si="42"/>
        <v>0.53939814814814824</v>
      </c>
      <c r="AD62" s="74">
        <f t="shared" si="8"/>
        <v>2.054398148148151E-2</v>
      </c>
      <c r="AE62" s="70">
        <f t="shared" si="1"/>
        <v>1.3576388888889013E-2</v>
      </c>
      <c r="AF62" s="70">
        <f t="shared" si="2"/>
        <v>3.4120370370370523E-2</v>
      </c>
      <c r="AG62" s="69">
        <v>40</v>
      </c>
    </row>
    <row r="63" spans="2:33" ht="15.6" x14ac:dyDescent="0.3">
      <c r="B63" s="12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1"/>
      <c r="Q63" s="13"/>
      <c r="R63" s="13"/>
      <c r="S63" s="13"/>
      <c r="T63" s="13"/>
      <c r="U63" s="13"/>
      <c r="V63" s="13"/>
      <c r="W63" s="75"/>
      <c r="X63" s="13"/>
      <c r="Y63" s="13"/>
      <c r="Z63" s="13"/>
      <c r="AA63" s="13"/>
      <c r="AB63" s="13"/>
      <c r="AC63" s="13"/>
      <c r="AD63" s="88"/>
      <c r="AE63" s="13"/>
      <c r="AF63" s="13"/>
    </row>
    <row r="64" spans="2:33" ht="15.6" x14ac:dyDescent="0.3">
      <c r="B64" s="80" t="s">
        <v>137</v>
      </c>
      <c r="S64" s="13"/>
    </row>
    <row r="66" spans="2:11" x14ac:dyDescent="0.3">
      <c r="B66" s="180" t="s">
        <v>96</v>
      </c>
      <c r="C66" s="180"/>
      <c r="D66" s="180"/>
      <c r="E66" s="180"/>
      <c r="F66" s="180"/>
      <c r="G66" s="180"/>
      <c r="H66" s="180"/>
      <c r="I66" s="180"/>
      <c r="J66" s="180"/>
      <c r="K66" s="180"/>
    </row>
    <row r="67" spans="2:11" ht="15.6" x14ac:dyDescent="0.3">
      <c r="B67" s="99" t="s">
        <v>97</v>
      </c>
      <c r="C67" s="99"/>
      <c r="D67" s="99" t="s">
        <v>168</v>
      </c>
      <c r="E67" s="99" t="s">
        <v>169</v>
      </c>
      <c r="F67" s="99"/>
      <c r="G67" s="99" t="s">
        <v>170</v>
      </c>
      <c r="H67" s="99" t="s">
        <v>171</v>
      </c>
      <c r="I67" s="99" t="s">
        <v>166</v>
      </c>
      <c r="J67" s="99" t="s">
        <v>167</v>
      </c>
      <c r="K67" s="99" t="s">
        <v>107</v>
      </c>
    </row>
    <row r="68" spans="2:11" x14ac:dyDescent="0.3">
      <c r="B68" s="99">
        <v>1</v>
      </c>
      <c r="C68" s="97">
        <f>AVERAGE(D23:D61)*1440</f>
        <v>6.3487179487179493</v>
      </c>
      <c r="D68" s="97">
        <f>_xlfn.STDEV.S(D23:D61)*1440</f>
        <v>9.0077130567042829</v>
      </c>
      <c r="E68" s="97">
        <f>D68/C68</f>
        <v>1.4188239467345194</v>
      </c>
      <c r="F68" s="97">
        <f>AVERAGE(H23:H62)*1440</f>
        <v>1.6062499999999995</v>
      </c>
      <c r="G68" s="97">
        <f>_xlfn.STDEV.S(H23:H62)*1440</f>
        <v>0.77491555922670419</v>
      </c>
      <c r="H68" s="97">
        <f>G68/F68</f>
        <v>0.48243770224230625</v>
      </c>
      <c r="I68" s="97">
        <f>1/C68</f>
        <v>0.15751211631663972</v>
      </c>
      <c r="J68" s="100">
        <f>I68*F68</f>
        <v>0.2530038368336025</v>
      </c>
      <c r="K68" s="98">
        <f>1/F68</f>
        <v>0.62256809338521424</v>
      </c>
    </row>
    <row r="69" spans="2:11" x14ac:dyDescent="0.3">
      <c r="B69" s="99">
        <v>2</v>
      </c>
      <c r="C69" s="97">
        <f>AVERAGE(K23:K61)*1440</f>
        <v>6.2991452991452972</v>
      </c>
      <c r="D69" s="97">
        <f>_xlfn.STDEV.S(K23:K61)*1440</f>
        <v>8.6917778488775692</v>
      </c>
      <c r="E69" s="97">
        <f t="shared" ref="E69" si="43">D69/C69</f>
        <v>1.3798344753306322</v>
      </c>
      <c r="F69" s="97">
        <f>AVERAGE(N23:N62)*1440</f>
        <v>2.456250000000006</v>
      </c>
      <c r="G69" s="97">
        <f>_xlfn.STDEV.S(N23:N62)*1440</f>
        <v>1.0802862307998957</v>
      </c>
      <c r="H69" s="97">
        <f t="shared" ref="H69:H71" si="44">G69/F69</f>
        <v>0.43981118811191577</v>
      </c>
      <c r="I69" s="97">
        <f t="shared" ref="I69:I71" si="45">1/C69</f>
        <v>0.15875169606512896</v>
      </c>
      <c r="J69" s="100">
        <f t="shared" ref="J69:J71" si="46">I69*F69</f>
        <v>0.38993385345997394</v>
      </c>
      <c r="K69" s="98">
        <f t="shared" ref="K69:K71" si="47">1/F69</f>
        <v>0.40712468193384121</v>
      </c>
    </row>
    <row r="70" spans="2:11" x14ac:dyDescent="0.3">
      <c r="B70" s="99">
        <v>3</v>
      </c>
      <c r="C70" s="97">
        <f>AVERAGE(R23:R61)*1440</f>
        <v>7.9511494252873529</v>
      </c>
      <c r="D70" s="97">
        <f>_xlfn.STDEV.S(R26:R61)*1440</f>
        <v>9.2491257963504712</v>
      </c>
      <c r="E70" s="97">
        <f>D70/C70</f>
        <v>1.1632438659667386</v>
      </c>
      <c r="F70" s="97">
        <f>AVERAGE(U23:U62)*1440</f>
        <v>9.0588888888888874</v>
      </c>
      <c r="G70" s="97">
        <f>_xlfn.STDEV.S(U26:U62)*1440</f>
        <v>4.4802776266376281</v>
      </c>
      <c r="H70" s="97">
        <f t="shared" si="44"/>
        <v>0.49457253329742007</v>
      </c>
      <c r="I70" s="97">
        <f>1/C70</f>
        <v>0.12576797976147458</v>
      </c>
      <c r="J70" s="101">
        <f>I70*F70</f>
        <v>1.1393181544392246</v>
      </c>
      <c r="K70" s="98">
        <f t="shared" si="47"/>
        <v>0.11038881393352142</v>
      </c>
    </row>
    <row r="71" spans="2:11" x14ac:dyDescent="0.3">
      <c r="B71" s="99">
        <v>4</v>
      </c>
      <c r="C71" s="97">
        <f>AVERAGE(Y32:Y61)*1440</f>
        <v>12.152941176470588</v>
      </c>
      <c r="D71" s="97">
        <f>_xlfn.STDEV.S(Y32:Y61)*1440</f>
        <v>6.185560120414956</v>
      </c>
      <c r="E71" s="97">
        <f>D71/C71</f>
        <v>0.50897638938554823</v>
      </c>
      <c r="F71" s="97">
        <f>AVERAGE(AB23:AB62)*1440</f>
        <v>5.6703703703703727</v>
      </c>
      <c r="G71" s="97">
        <f>_xlfn.STDEV.S(AB32:AB62)*1440</f>
        <v>2.672289143510008</v>
      </c>
      <c r="H71" s="97">
        <f t="shared" si="44"/>
        <v>0.4712724159031364</v>
      </c>
      <c r="I71" s="97">
        <f t="shared" si="45"/>
        <v>8.2284607938044541E-2</v>
      </c>
      <c r="J71" s="100">
        <f t="shared" si="46"/>
        <v>0.46658420278943052</v>
      </c>
      <c r="K71" s="98">
        <f t="shared" si="47"/>
        <v>0.17635532331809267</v>
      </c>
    </row>
  </sheetData>
  <mergeCells count="26">
    <mergeCell ref="B4:M4"/>
    <mergeCell ref="B11:D11"/>
    <mergeCell ref="B12:D12"/>
    <mergeCell ref="B14:G14"/>
    <mergeCell ref="B16:G16"/>
    <mergeCell ref="Z21:AC21"/>
    <mergeCell ref="S21:W21"/>
    <mergeCell ref="X21:X22"/>
    <mergeCell ref="Y21:Y22"/>
    <mergeCell ref="R21:R22"/>
    <mergeCell ref="AG21:AG22"/>
    <mergeCell ref="B66:K66"/>
    <mergeCell ref="B5:M7"/>
    <mergeCell ref="F20:AF20"/>
    <mergeCell ref="B21:B22"/>
    <mergeCell ref="C21:C22"/>
    <mergeCell ref="D21:D22"/>
    <mergeCell ref="E21:E22"/>
    <mergeCell ref="F21:I21"/>
    <mergeCell ref="J21:J22"/>
    <mergeCell ref="K21:K22"/>
    <mergeCell ref="L21:P21"/>
    <mergeCell ref="Q21:Q22"/>
    <mergeCell ref="AD21:AD22"/>
    <mergeCell ref="AE21:AE22"/>
    <mergeCell ref="AF21:AF22"/>
  </mergeCells>
  <dataValidations count="3">
    <dataValidation type="list" allowBlank="1" showInputMessage="1" showErrorMessage="1" sqref="P23:P57 P59:P63" xr:uid="{508070FA-3506-4E51-AE9E-89CF9B9098EE}">
      <formula1>$B$69:$B$70</formula1>
    </dataValidation>
    <dataValidation type="list" allowBlank="1" showInputMessage="1" showErrorMessage="1" sqref="W23:W63" xr:uid="{8DE51D0E-BF53-4F53-8197-C4BF820970D2}">
      <formula1>$D$69:$D$70</formula1>
    </dataValidation>
    <dataValidation type="list" allowBlank="1" showInputMessage="1" showErrorMessage="1" sqref="P58 P23" xr:uid="{E6D7152D-1B47-4015-909C-B185D0173901}">
      <formula1>$B$66:$B$67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C298-C1B2-403F-B367-1F5425816B3A}">
  <dimension ref="B2:AK87"/>
  <sheetViews>
    <sheetView topLeftCell="A39" zoomScale="62" zoomScaleNormal="62" workbookViewId="0">
      <selection activeCell="E78" sqref="E78:J79"/>
    </sheetView>
  </sheetViews>
  <sheetFormatPr defaultRowHeight="14.4" x14ac:dyDescent="0.3"/>
  <cols>
    <col min="2" max="2" width="8.88671875" customWidth="1"/>
    <col min="3" max="3" width="11.5546875" customWidth="1"/>
    <col min="4" max="4" width="12" customWidth="1"/>
    <col min="5" max="5" width="10.5546875" customWidth="1"/>
    <col min="6" max="6" width="10.88671875" customWidth="1"/>
    <col min="7" max="7" width="11.33203125" customWidth="1"/>
    <col min="8" max="9" width="11" customWidth="1"/>
    <col min="10" max="10" width="9.88671875" customWidth="1"/>
    <col min="11" max="11" width="12" customWidth="1"/>
    <col min="12" max="12" width="10.77734375" customWidth="1"/>
    <col min="13" max="13" width="11" customWidth="1"/>
    <col min="14" max="14" width="11.44140625" customWidth="1"/>
    <col min="15" max="15" width="10.88671875" customWidth="1"/>
    <col min="16" max="16" width="22.109375" customWidth="1"/>
    <col min="17" max="17" width="10.6640625" customWidth="1"/>
    <col min="18" max="18" width="12" customWidth="1"/>
    <col min="19" max="20" width="10.77734375" customWidth="1"/>
    <col min="21" max="21" width="10" customWidth="1"/>
    <col min="22" max="22" width="10.21875" customWidth="1"/>
    <col min="23" max="23" width="15.44140625" customWidth="1"/>
    <col min="24" max="27" width="10.77734375" customWidth="1"/>
    <col min="28" max="28" width="15.21875" customWidth="1"/>
    <col min="29" max="29" width="10.109375" customWidth="1"/>
    <col min="30" max="30" width="12.109375" customWidth="1"/>
    <col min="31" max="31" width="10.88671875" customWidth="1"/>
    <col min="32" max="32" width="11" customWidth="1"/>
    <col min="33" max="33" width="11.109375" customWidth="1"/>
    <col min="34" max="34" width="10.88671875" customWidth="1"/>
    <col min="35" max="35" width="10.33203125" customWidth="1"/>
    <col min="36" max="36" width="10.44140625" customWidth="1"/>
    <col min="37" max="37" width="10.109375" customWidth="1"/>
  </cols>
  <sheetData>
    <row r="2" spans="2:37" x14ac:dyDescent="0.3">
      <c r="B2" s="80" t="s">
        <v>109</v>
      </c>
    </row>
    <row r="3" spans="2:37" x14ac:dyDescent="0.3">
      <c r="B3" s="80"/>
    </row>
    <row r="4" spans="2:37" x14ac:dyDescent="0.3">
      <c r="B4" s="182" t="s">
        <v>110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2:37" ht="14.4" customHeight="1" x14ac:dyDescent="0.3">
      <c r="B5" s="181" t="s">
        <v>111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2:37" x14ac:dyDescent="0.3"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</row>
    <row r="7" spans="2:37" x14ac:dyDescent="0.3"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2:37" x14ac:dyDescent="0.3"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</row>
    <row r="9" spans="2:37" x14ac:dyDescent="0.3">
      <c r="B9" s="80" t="s">
        <v>112</v>
      </c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</row>
    <row r="10" spans="2:37" ht="15.6" x14ac:dyDescent="0.3">
      <c r="B10" s="5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</row>
    <row r="11" spans="2:37" ht="15.6" x14ac:dyDescent="0.3">
      <c r="C11" s="5"/>
      <c r="D11" s="5"/>
      <c r="E11" s="5"/>
      <c r="F11" s="165" t="s">
        <v>6</v>
      </c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7"/>
    </row>
    <row r="12" spans="2:37" ht="15.6" customHeight="1" x14ac:dyDescent="0.3">
      <c r="B12" s="168" t="s">
        <v>10</v>
      </c>
      <c r="C12" s="170" t="s">
        <v>90</v>
      </c>
      <c r="D12" s="170" t="s">
        <v>102</v>
      </c>
      <c r="E12" s="169" t="s">
        <v>0</v>
      </c>
      <c r="F12" s="172" t="s">
        <v>8</v>
      </c>
      <c r="G12" s="172"/>
      <c r="H12" s="172"/>
      <c r="I12" s="172"/>
      <c r="J12" s="173" t="s">
        <v>0</v>
      </c>
      <c r="K12" s="170" t="s">
        <v>102</v>
      </c>
      <c r="L12" s="174" t="s">
        <v>44</v>
      </c>
      <c r="M12" s="175"/>
      <c r="N12" s="175"/>
      <c r="O12" s="175"/>
      <c r="P12" s="176"/>
      <c r="Q12" s="173" t="s">
        <v>0</v>
      </c>
      <c r="R12" s="170" t="s">
        <v>102</v>
      </c>
      <c r="S12" s="172" t="s">
        <v>106</v>
      </c>
      <c r="T12" s="172"/>
      <c r="U12" s="172"/>
      <c r="V12" s="172"/>
      <c r="W12" s="172"/>
      <c r="X12" s="190" t="s">
        <v>105</v>
      </c>
      <c r="Y12" s="191"/>
      <c r="Z12" s="191"/>
      <c r="AA12" s="191"/>
      <c r="AB12" s="192"/>
      <c r="AC12" s="173" t="s">
        <v>0</v>
      </c>
      <c r="AD12" s="170" t="s">
        <v>102</v>
      </c>
      <c r="AE12" s="177" t="s">
        <v>9</v>
      </c>
      <c r="AF12" s="177"/>
      <c r="AG12" s="177"/>
      <c r="AH12" s="177"/>
      <c r="AI12" s="162" t="s">
        <v>91</v>
      </c>
      <c r="AJ12" s="162" t="s">
        <v>40</v>
      </c>
      <c r="AK12" s="164" t="s">
        <v>41</v>
      </c>
    </row>
    <row r="13" spans="2:37" ht="15.6" x14ac:dyDescent="0.3">
      <c r="B13" s="169"/>
      <c r="C13" s="171"/>
      <c r="D13" s="171"/>
      <c r="E13" s="169"/>
      <c r="F13" s="6" t="s">
        <v>1</v>
      </c>
      <c r="G13" s="6" t="s">
        <v>3</v>
      </c>
      <c r="H13" s="6" t="s">
        <v>2</v>
      </c>
      <c r="I13" s="6" t="s">
        <v>4</v>
      </c>
      <c r="J13" s="171"/>
      <c r="K13" s="171"/>
      <c r="L13" s="15" t="s">
        <v>1</v>
      </c>
      <c r="M13" s="15" t="s">
        <v>3</v>
      </c>
      <c r="N13" s="15" t="s">
        <v>2</v>
      </c>
      <c r="O13" s="15" t="s">
        <v>4</v>
      </c>
      <c r="P13" s="21" t="s">
        <v>5</v>
      </c>
      <c r="Q13" s="171"/>
      <c r="R13" s="171"/>
      <c r="S13" s="6" t="s">
        <v>1</v>
      </c>
      <c r="T13" s="6" t="s">
        <v>3</v>
      </c>
      <c r="U13" s="6" t="s">
        <v>2</v>
      </c>
      <c r="V13" s="6" t="s">
        <v>4</v>
      </c>
      <c r="W13" s="6" t="s">
        <v>5</v>
      </c>
      <c r="X13" s="6" t="s">
        <v>1</v>
      </c>
      <c r="Y13" s="6" t="s">
        <v>3</v>
      </c>
      <c r="Z13" s="6" t="s">
        <v>2</v>
      </c>
      <c r="AA13" s="6" t="s">
        <v>4</v>
      </c>
      <c r="AB13" s="6" t="s">
        <v>5</v>
      </c>
      <c r="AC13" s="171"/>
      <c r="AD13" s="171"/>
      <c r="AE13" s="7" t="s">
        <v>1</v>
      </c>
      <c r="AF13" s="7" t="s">
        <v>3</v>
      </c>
      <c r="AG13" s="7" t="s">
        <v>2</v>
      </c>
      <c r="AH13" s="7" t="s">
        <v>4</v>
      </c>
      <c r="AI13" s="163"/>
      <c r="AJ13" s="163"/>
      <c r="AK13" s="162"/>
    </row>
    <row r="14" spans="2:37" ht="15.6" x14ac:dyDescent="0.3">
      <c r="B14" s="51">
        <v>1</v>
      </c>
      <c r="C14" s="9">
        <v>0.33333333333333331</v>
      </c>
      <c r="D14" s="9">
        <f>C15-C14</f>
        <v>5.5555555555555913E-3</v>
      </c>
      <c r="E14" s="14"/>
      <c r="F14" s="10"/>
      <c r="G14" s="10">
        <v>0.33333333333333331</v>
      </c>
      <c r="H14" s="10">
        <f>I14-G14</f>
        <v>2.0833333333333259E-3</v>
      </c>
      <c r="I14" s="10">
        <v>0.33541666666666664</v>
      </c>
      <c r="J14" s="14"/>
      <c r="K14" s="14">
        <f>I15-I14</f>
        <v>5.5555555555555913E-3</v>
      </c>
      <c r="L14" s="9"/>
      <c r="M14" s="9">
        <v>0.33541666666666664</v>
      </c>
      <c r="N14" s="9">
        <f t="shared" ref="N14:N23" si="0">O14-M14</f>
        <v>1.8518518518518823E-3</v>
      </c>
      <c r="O14" s="9">
        <v>0.33726851851851852</v>
      </c>
      <c r="P14" s="21" t="s">
        <v>18</v>
      </c>
      <c r="Q14" s="14"/>
      <c r="R14" s="48"/>
      <c r="S14" s="16"/>
      <c r="T14" s="10"/>
      <c r="U14" s="10"/>
      <c r="V14" s="10"/>
      <c r="W14" s="17"/>
      <c r="X14" s="17"/>
      <c r="Y14" s="17"/>
      <c r="Z14" s="17"/>
      <c r="AA14" s="17"/>
      <c r="AB14" s="17"/>
      <c r="AC14" s="14"/>
      <c r="AD14" s="14"/>
      <c r="AE14" s="9"/>
      <c r="AF14" s="9"/>
      <c r="AG14" s="9"/>
      <c r="AH14" s="9"/>
      <c r="AI14" s="22">
        <v>0</v>
      </c>
      <c r="AJ14" s="33">
        <f>H14+N14+U14+AG14+Z14</f>
        <v>3.9351851851852082E-3</v>
      </c>
      <c r="AK14" s="33">
        <f>SUM(AI14,AJ14)</f>
        <v>3.9351851851852082E-3</v>
      </c>
    </row>
    <row r="15" spans="2:37" ht="15.6" x14ac:dyDescent="0.3">
      <c r="B15" s="51">
        <v>2</v>
      </c>
      <c r="C15" s="9">
        <v>0.33888888888888891</v>
      </c>
      <c r="D15" s="9">
        <f t="shared" ref="D15:D22" si="1">C16-C15</f>
        <v>1.5509259259259278E-3</v>
      </c>
      <c r="E15" s="14" t="str">
        <f>IF(G15&gt;C15,G15-C15,"")</f>
        <v/>
      </c>
      <c r="F15" s="10">
        <f>IF(G15&gt;I14,G15-I14,"")</f>
        <v>3.4722222222222654E-3</v>
      </c>
      <c r="G15" s="10">
        <v>0.33888888888888891</v>
      </c>
      <c r="H15" s="10">
        <f>I15-G15</f>
        <v>2.0833333333333259E-3</v>
      </c>
      <c r="I15" s="10">
        <v>0.34097222222222223</v>
      </c>
      <c r="J15" s="14" t="str">
        <f t="shared" ref="J15:J53" si="2">IF(I15&gt;O14,"",O14-I15)</f>
        <v/>
      </c>
      <c r="K15" s="14">
        <f>I16-I15</f>
        <v>1.388888888888884E-3</v>
      </c>
      <c r="L15" s="9">
        <f t="shared" ref="L15:L53" si="3">IF(M15&gt;O14,M15-O14,"")</f>
        <v>3.703703703703709E-3</v>
      </c>
      <c r="M15" s="9">
        <f t="shared" ref="M15:M53" si="4">IF(I15&gt;O14,I15,O14)</f>
        <v>0.34097222222222223</v>
      </c>
      <c r="N15" s="9">
        <f t="shared" si="0"/>
        <v>1.4120370370370172E-3</v>
      </c>
      <c r="O15" s="9">
        <v>0.34238425925925925</v>
      </c>
      <c r="P15" s="21" t="s">
        <v>18</v>
      </c>
      <c r="Q15" s="14"/>
      <c r="R15" s="48"/>
      <c r="S15" s="16"/>
      <c r="T15" s="10"/>
      <c r="U15" s="10"/>
      <c r="V15" s="10"/>
      <c r="W15" s="17"/>
      <c r="X15" s="17"/>
      <c r="Y15" s="17"/>
      <c r="Z15" s="17"/>
      <c r="AA15" s="17"/>
      <c r="AB15" s="17"/>
      <c r="AC15" s="14"/>
      <c r="AD15" s="14"/>
      <c r="AE15" s="9"/>
      <c r="AF15" s="9"/>
      <c r="AG15" s="9"/>
      <c r="AH15" s="9"/>
      <c r="AI15" s="22">
        <v>0</v>
      </c>
      <c r="AJ15" s="33">
        <f>H15+N15+U15+AG15+Z15</f>
        <v>3.4953703703703431E-3</v>
      </c>
      <c r="AK15" s="33">
        <f t="shared" ref="AK15:AK53" si="5">SUM(AI15,AJ15)</f>
        <v>3.4953703703703431E-3</v>
      </c>
    </row>
    <row r="16" spans="2:37" ht="15.6" x14ac:dyDescent="0.3">
      <c r="B16" s="51">
        <v>3</v>
      </c>
      <c r="C16" s="9">
        <v>0.34043981481481483</v>
      </c>
      <c r="D16" s="9">
        <f t="shared" si="1"/>
        <v>7.7546296296293615E-4</v>
      </c>
      <c r="E16" s="14">
        <f>IF(G16&gt;C16,G16-C16,"")</f>
        <v>5.3240740740739811E-4</v>
      </c>
      <c r="F16" s="10" t="str">
        <f>IF(G16&gt;I15,G16-I15,"")</f>
        <v/>
      </c>
      <c r="G16" s="10">
        <v>0.34097222222222223</v>
      </c>
      <c r="H16" s="10">
        <f>I16-G16</f>
        <v>1.388888888888884E-3</v>
      </c>
      <c r="I16" s="10">
        <v>0.34236111111111112</v>
      </c>
      <c r="J16" s="14">
        <f t="shared" si="2"/>
        <v>2.3148148148133263E-5</v>
      </c>
      <c r="K16" s="14">
        <f t="shared" ref="K16:K51" si="6">I17-I16</f>
        <v>1.388888888888884E-3</v>
      </c>
      <c r="L16" s="9" t="str">
        <f t="shared" si="3"/>
        <v/>
      </c>
      <c r="M16" s="9">
        <f t="shared" si="4"/>
        <v>0.34238425925925925</v>
      </c>
      <c r="N16" s="9">
        <f t="shared" si="0"/>
        <v>3.8888888888888862E-3</v>
      </c>
      <c r="O16" s="9">
        <v>0.34627314814814814</v>
      </c>
      <c r="P16" s="21" t="s">
        <v>18</v>
      </c>
      <c r="Q16" s="14"/>
      <c r="R16" s="48"/>
      <c r="S16" s="16"/>
      <c r="T16" s="10"/>
      <c r="U16" s="10"/>
      <c r="V16" s="10"/>
      <c r="W16" s="17"/>
      <c r="X16" s="17"/>
      <c r="Y16" s="17"/>
      <c r="Z16" s="17"/>
      <c r="AA16" s="17"/>
      <c r="AB16" s="17"/>
      <c r="AC16" s="14"/>
      <c r="AD16" s="14"/>
      <c r="AE16" s="9"/>
      <c r="AF16" s="9"/>
      <c r="AG16" s="9"/>
      <c r="AH16" s="9"/>
      <c r="AI16" s="22">
        <f t="shared" ref="AI16:AI53" si="7">SUM(E16,J16,Q16,AC16)</f>
        <v>5.5555555555553138E-4</v>
      </c>
      <c r="AJ16" s="33">
        <f t="shared" ref="AJ16:AJ53" si="8">H16+N16+U16+AG16+Z16</f>
        <v>5.2777777777777701E-3</v>
      </c>
      <c r="AK16" s="33">
        <f t="shared" si="5"/>
        <v>5.8333333333333015E-3</v>
      </c>
    </row>
    <row r="17" spans="2:37" ht="15.6" x14ac:dyDescent="0.3">
      <c r="B17" s="51">
        <v>4</v>
      </c>
      <c r="C17" s="9">
        <v>0.34121527777777777</v>
      </c>
      <c r="D17" s="9">
        <f t="shared" si="1"/>
        <v>9.9537037037039644E-4</v>
      </c>
      <c r="E17" s="14">
        <f t="shared" ref="E17:E38" si="9">IF(G17&gt;C17,G17-C17,"")</f>
        <v>1.1458333333333459E-3</v>
      </c>
      <c r="F17" s="10" t="str">
        <f t="shared" ref="F17:F38" si="10">IF(G17&gt;I16,G17-I16,"")</f>
        <v/>
      </c>
      <c r="G17" s="10">
        <v>0.34236111111111112</v>
      </c>
      <c r="H17" s="10">
        <f t="shared" ref="H17:H23" si="11">I17-G17</f>
        <v>1.388888888888884E-3</v>
      </c>
      <c r="I17" s="10">
        <v>0.34375</v>
      </c>
      <c r="J17" s="14">
        <f t="shared" si="2"/>
        <v>2.5231481481481355E-3</v>
      </c>
      <c r="K17" s="14">
        <f t="shared" si="6"/>
        <v>9.490740740740744E-4</v>
      </c>
      <c r="L17" s="9" t="str">
        <f t="shared" si="3"/>
        <v/>
      </c>
      <c r="M17" s="9">
        <f t="shared" si="4"/>
        <v>0.34627314814814814</v>
      </c>
      <c r="N17" s="9">
        <f t="shared" si="0"/>
        <v>1.0648148148148517E-3</v>
      </c>
      <c r="O17" s="9">
        <v>0.34733796296296299</v>
      </c>
      <c r="P17" s="21" t="s">
        <v>17</v>
      </c>
      <c r="Q17" s="14"/>
      <c r="R17" s="48">
        <f>O18-O17</f>
        <v>1.1226851851851571E-3</v>
      </c>
      <c r="S17" s="16" t="str">
        <f>IF(V17&lt;O17,O17-V17,"")</f>
        <v/>
      </c>
      <c r="T17" s="10">
        <f>O17</f>
        <v>0.34733796296296299</v>
      </c>
      <c r="U17" s="10">
        <f>V17-T17</f>
        <v>3.3796296296296213E-3</v>
      </c>
      <c r="V17" s="10">
        <v>0.35071759259259261</v>
      </c>
      <c r="W17" s="17" t="s">
        <v>19</v>
      </c>
      <c r="X17" s="17"/>
      <c r="Y17" s="17"/>
      <c r="Z17" s="17"/>
      <c r="AA17" s="17"/>
      <c r="AB17" s="17"/>
      <c r="AC17" s="14"/>
      <c r="AD17" s="14"/>
      <c r="AE17" s="9"/>
      <c r="AF17" s="9"/>
      <c r="AG17" s="9"/>
      <c r="AH17" s="9"/>
      <c r="AI17" s="22">
        <f t="shared" si="7"/>
        <v>3.6689814814814814E-3</v>
      </c>
      <c r="AJ17" s="33">
        <f t="shared" si="8"/>
        <v>5.833333333333357E-3</v>
      </c>
      <c r="AK17" s="33">
        <f t="shared" si="5"/>
        <v>9.5023148148148384E-3</v>
      </c>
    </row>
    <row r="18" spans="2:37" ht="15.6" x14ac:dyDescent="0.3">
      <c r="B18" s="51">
        <v>5</v>
      </c>
      <c r="C18" s="9">
        <v>0.34221064814814817</v>
      </c>
      <c r="D18" s="9">
        <f t="shared" si="1"/>
        <v>9.8379629629630205E-4</v>
      </c>
      <c r="E18" s="14">
        <f t="shared" si="9"/>
        <v>1.5393518518518334E-3</v>
      </c>
      <c r="F18" s="10" t="str">
        <f t="shared" si="10"/>
        <v/>
      </c>
      <c r="G18" s="10">
        <v>0.34375</v>
      </c>
      <c r="H18" s="10">
        <f t="shared" si="11"/>
        <v>9.490740740740744E-4</v>
      </c>
      <c r="I18" s="10">
        <v>0.34469907407407407</v>
      </c>
      <c r="J18" s="14">
        <f t="shared" si="2"/>
        <v>2.6388888888889128E-3</v>
      </c>
      <c r="K18" s="14">
        <f t="shared" si="6"/>
        <v>1.1458333333333459E-3</v>
      </c>
      <c r="L18" s="9" t="str">
        <f t="shared" si="3"/>
        <v/>
      </c>
      <c r="M18" s="9">
        <f t="shared" si="4"/>
        <v>0.34733796296296299</v>
      </c>
      <c r="N18" s="9">
        <f t="shared" si="0"/>
        <v>1.1226851851851571E-3</v>
      </c>
      <c r="O18" s="9">
        <v>0.34846064814814814</v>
      </c>
      <c r="P18" s="21" t="s">
        <v>17</v>
      </c>
      <c r="Q18" s="14"/>
      <c r="R18" s="48">
        <f t="shared" ref="R18:R19" si="12">O19-O18</f>
        <v>7.6388888888889728E-4</v>
      </c>
      <c r="S18" s="16" t="str">
        <f>IF(AA18&lt;O18,O18-AA18,"")</f>
        <v/>
      </c>
      <c r="T18" s="10"/>
      <c r="U18" s="10"/>
      <c r="V18" s="10"/>
      <c r="W18" s="17"/>
      <c r="X18" s="17"/>
      <c r="Y18" s="17">
        <f>O18</f>
        <v>0.34846064814814814</v>
      </c>
      <c r="Z18" s="17">
        <v>6.6203703703703702E-3</v>
      </c>
      <c r="AA18" s="17">
        <f>Y18+Z18</f>
        <v>0.35508101851851853</v>
      </c>
      <c r="AB18" s="17" t="s">
        <v>19</v>
      </c>
      <c r="AC18" s="14"/>
      <c r="AD18" s="14"/>
      <c r="AE18" s="9"/>
      <c r="AF18" s="9"/>
      <c r="AG18" s="9"/>
      <c r="AH18" s="9"/>
      <c r="AI18" s="22">
        <f t="shared" si="7"/>
        <v>4.1782407407407463E-3</v>
      </c>
      <c r="AJ18" s="33">
        <f t="shared" si="8"/>
        <v>8.6921296296296018E-3</v>
      </c>
      <c r="AK18" s="33">
        <f t="shared" si="5"/>
        <v>1.2870370370370348E-2</v>
      </c>
    </row>
    <row r="19" spans="2:37" ht="15.6" x14ac:dyDescent="0.3">
      <c r="B19" s="51">
        <v>6</v>
      </c>
      <c r="C19" s="9">
        <v>0.34319444444444447</v>
      </c>
      <c r="D19" s="9">
        <f t="shared" si="1"/>
        <v>5.4398148148143699E-4</v>
      </c>
      <c r="E19" s="14">
        <f t="shared" si="9"/>
        <v>1.5046296296296058E-3</v>
      </c>
      <c r="F19" s="10" t="str">
        <f t="shared" si="10"/>
        <v/>
      </c>
      <c r="G19" s="10">
        <v>0.34469907407407407</v>
      </c>
      <c r="H19" s="10">
        <f t="shared" si="11"/>
        <v>1.1458333333333459E-3</v>
      </c>
      <c r="I19" s="10">
        <v>0.34584490740740742</v>
      </c>
      <c r="J19" s="14">
        <f t="shared" si="2"/>
        <v>2.615740740740724E-3</v>
      </c>
      <c r="K19" s="14">
        <f t="shared" si="6"/>
        <v>1.4004629629629228E-3</v>
      </c>
      <c r="L19" s="9" t="str">
        <f t="shared" si="3"/>
        <v/>
      </c>
      <c r="M19" s="9">
        <f t="shared" si="4"/>
        <v>0.34846064814814814</v>
      </c>
      <c r="N19" s="9">
        <f t="shared" si="0"/>
        <v>7.6388888888889728E-4</v>
      </c>
      <c r="O19" s="9">
        <v>0.34922453703703704</v>
      </c>
      <c r="P19" s="21" t="s">
        <v>17</v>
      </c>
      <c r="Q19" s="14">
        <f>T19-O19</f>
        <v>1.4930555555555669E-3</v>
      </c>
      <c r="R19" s="48">
        <f t="shared" si="12"/>
        <v>5.7870370370372015E-4</v>
      </c>
      <c r="S19" s="16"/>
      <c r="T19" s="10">
        <f>V17</f>
        <v>0.35071759259259261</v>
      </c>
      <c r="U19" s="10">
        <v>1.2256944444444473E-2</v>
      </c>
      <c r="V19" s="10">
        <f>T19+U19</f>
        <v>0.36297453703703708</v>
      </c>
      <c r="W19" s="17" t="s">
        <v>19</v>
      </c>
      <c r="X19" s="17"/>
      <c r="Y19" s="17"/>
      <c r="Z19" s="17"/>
      <c r="AA19" s="17"/>
      <c r="AB19" s="17"/>
      <c r="AC19" s="14"/>
      <c r="AD19" s="14"/>
      <c r="AE19" s="9"/>
      <c r="AF19" s="9"/>
      <c r="AG19" s="9"/>
      <c r="AH19" s="9"/>
      <c r="AI19" s="22">
        <f t="shared" si="7"/>
        <v>5.6134259259258967E-3</v>
      </c>
      <c r="AJ19" s="33">
        <f t="shared" si="8"/>
        <v>1.4166666666666716E-2</v>
      </c>
      <c r="AK19" s="33">
        <f t="shared" si="5"/>
        <v>1.9780092592592613E-2</v>
      </c>
    </row>
    <row r="20" spans="2:37" ht="15.6" x14ac:dyDescent="0.3">
      <c r="B20" s="51">
        <v>7</v>
      </c>
      <c r="C20" s="9">
        <v>0.34373842592592591</v>
      </c>
      <c r="D20" s="9">
        <f t="shared" si="1"/>
        <v>8.3449074074074536E-3</v>
      </c>
      <c r="E20" s="14">
        <f t="shared" si="9"/>
        <v>2.1064814814815147E-3</v>
      </c>
      <c r="F20" s="10" t="str">
        <f t="shared" si="10"/>
        <v/>
      </c>
      <c r="G20" s="10">
        <v>0.34584490740740742</v>
      </c>
      <c r="H20" s="10">
        <f t="shared" si="11"/>
        <v>1.4004629629629228E-3</v>
      </c>
      <c r="I20" s="10">
        <v>0.34724537037037034</v>
      </c>
      <c r="J20" s="14">
        <f t="shared" si="2"/>
        <v>1.9791666666666985E-3</v>
      </c>
      <c r="K20" s="14">
        <f t="shared" si="6"/>
        <v>5.8217592592592626E-3</v>
      </c>
      <c r="L20" s="9" t="str">
        <f t="shared" si="3"/>
        <v/>
      </c>
      <c r="M20" s="9">
        <f t="shared" si="4"/>
        <v>0.34922453703703704</v>
      </c>
      <c r="N20" s="9">
        <f t="shared" si="0"/>
        <v>5.7870370370372015E-4</v>
      </c>
      <c r="O20" s="9">
        <v>0.34980324074074076</v>
      </c>
      <c r="P20" s="21" t="s">
        <v>17</v>
      </c>
      <c r="Q20" s="14">
        <f>Y20-O20</f>
        <v>5.2777777777777701E-3</v>
      </c>
      <c r="R20" s="48">
        <f>O22-O20</f>
        <v>5.5555555555555358E-3</v>
      </c>
      <c r="S20" s="16"/>
      <c r="T20" s="10"/>
      <c r="U20" s="10"/>
      <c r="V20" s="10"/>
      <c r="W20" s="17"/>
      <c r="X20" s="17"/>
      <c r="Y20" s="17">
        <f>AA18</f>
        <v>0.35508101851851853</v>
      </c>
      <c r="Z20" s="17">
        <v>9.6412037037037039E-3</v>
      </c>
      <c r="AA20" s="17">
        <f t="shared" ref="AA20:AA51" si="13">Y20+Z20</f>
        <v>0.36472222222222223</v>
      </c>
      <c r="AB20" s="17" t="s">
        <v>19</v>
      </c>
      <c r="AC20" s="14"/>
      <c r="AD20" s="14"/>
      <c r="AE20" s="9"/>
      <c r="AF20" s="9"/>
      <c r="AG20" s="9"/>
      <c r="AH20" s="9"/>
      <c r="AI20" s="22">
        <f t="shared" si="7"/>
        <v>9.3634259259259833E-3</v>
      </c>
      <c r="AJ20" s="33">
        <f t="shared" si="8"/>
        <v>1.1620370370370347E-2</v>
      </c>
      <c r="AK20" s="33">
        <f t="shared" si="5"/>
        <v>2.098379629629633E-2</v>
      </c>
    </row>
    <row r="21" spans="2:37" ht="15.6" x14ac:dyDescent="0.3">
      <c r="B21" s="51">
        <v>8</v>
      </c>
      <c r="C21" s="9">
        <v>0.35208333333333336</v>
      </c>
      <c r="D21" s="9">
        <f t="shared" si="1"/>
        <v>1.1921296296296124E-3</v>
      </c>
      <c r="E21" s="14" t="str">
        <f t="shared" si="9"/>
        <v/>
      </c>
      <c r="F21" s="10">
        <f t="shared" si="10"/>
        <v>4.8379629629630161E-3</v>
      </c>
      <c r="G21" s="10">
        <v>0.35208333333333336</v>
      </c>
      <c r="H21" s="10">
        <f t="shared" si="11"/>
        <v>9.8379629629624654E-4</v>
      </c>
      <c r="I21" s="10">
        <v>0.35306712962962961</v>
      </c>
      <c r="J21" s="14" t="str">
        <f t="shared" si="2"/>
        <v/>
      </c>
      <c r="K21" s="14">
        <f t="shared" si="6"/>
        <v>1.4004629629629783E-3</v>
      </c>
      <c r="L21" s="9">
        <f t="shared" si="3"/>
        <v>3.263888888888844E-3</v>
      </c>
      <c r="M21" s="9">
        <f t="shared" si="4"/>
        <v>0.35306712962962961</v>
      </c>
      <c r="N21" s="9">
        <f t="shared" si="0"/>
        <v>1.3541666666667118E-3</v>
      </c>
      <c r="O21" s="9">
        <v>0.35442129629629632</v>
      </c>
      <c r="P21" s="21" t="s">
        <v>18</v>
      </c>
      <c r="Q21" s="14"/>
      <c r="R21" s="48"/>
      <c r="S21" s="16"/>
      <c r="T21" s="10"/>
      <c r="U21" s="10"/>
      <c r="V21" s="10"/>
      <c r="W21" s="17"/>
      <c r="X21" s="17"/>
      <c r="Y21" s="17"/>
      <c r="Z21" s="17"/>
      <c r="AA21" s="17"/>
      <c r="AB21" s="17"/>
      <c r="AC21" s="14"/>
      <c r="AD21" s="14"/>
      <c r="AE21" s="9"/>
      <c r="AF21" s="9"/>
      <c r="AG21" s="9"/>
      <c r="AH21" s="9"/>
      <c r="AI21" s="22">
        <f t="shared" si="7"/>
        <v>0</v>
      </c>
      <c r="AJ21" s="33">
        <f t="shared" si="8"/>
        <v>2.3379629629629584E-3</v>
      </c>
      <c r="AK21" s="33">
        <f t="shared" si="5"/>
        <v>2.3379629629629584E-3</v>
      </c>
    </row>
    <row r="22" spans="2:37" ht="15.6" x14ac:dyDescent="0.3">
      <c r="B22" s="51">
        <v>9</v>
      </c>
      <c r="C22" s="9">
        <v>0.35327546296296297</v>
      </c>
      <c r="D22" s="9">
        <f t="shared" si="1"/>
        <v>4.745370370370372E-4</v>
      </c>
      <c r="E22" s="14" t="str">
        <f t="shared" si="9"/>
        <v/>
      </c>
      <c r="F22" s="10">
        <f t="shared" si="10"/>
        <v>2.083333333333659E-4</v>
      </c>
      <c r="G22" s="10">
        <v>0.35327546296296297</v>
      </c>
      <c r="H22" s="10">
        <f t="shared" si="11"/>
        <v>1.1921296296296124E-3</v>
      </c>
      <c r="I22" s="10">
        <v>0.35446759259259258</v>
      </c>
      <c r="J22" s="14" t="str">
        <f t="shared" si="2"/>
        <v/>
      </c>
      <c r="K22" s="14">
        <f t="shared" si="6"/>
        <v>1.087962962962985E-3</v>
      </c>
      <c r="L22" s="9">
        <f t="shared" si="3"/>
        <v>4.6296296296266526E-5</v>
      </c>
      <c r="M22" s="9">
        <f t="shared" si="4"/>
        <v>0.35446759259259258</v>
      </c>
      <c r="N22" s="9">
        <f t="shared" si="0"/>
        <v>8.9120370370371349E-4</v>
      </c>
      <c r="O22" s="9">
        <v>0.3553587962962963</v>
      </c>
      <c r="P22" s="21" t="s">
        <v>17</v>
      </c>
      <c r="Q22" s="14">
        <f>T22-O22</f>
        <v>7.615740740740784E-3</v>
      </c>
      <c r="R22" s="48">
        <f>O23-O22</f>
        <v>4.3634259259259234E-3</v>
      </c>
      <c r="S22" s="16"/>
      <c r="T22" s="10">
        <f>V19</f>
        <v>0.36297453703703708</v>
      </c>
      <c r="U22" s="17">
        <v>2.9745370370370373E-3</v>
      </c>
      <c r="V22" s="10">
        <f>T22+U22</f>
        <v>0.36594907407407412</v>
      </c>
      <c r="W22" s="17" t="s">
        <v>19</v>
      </c>
      <c r="X22" s="17"/>
      <c r="Y22" s="17"/>
      <c r="Z22" s="17"/>
      <c r="AA22" s="17"/>
      <c r="AB22" s="17"/>
      <c r="AC22" s="14"/>
      <c r="AD22" s="14"/>
      <c r="AE22" s="9"/>
      <c r="AF22" s="9"/>
      <c r="AG22" s="9"/>
      <c r="AH22" s="9"/>
      <c r="AI22" s="22">
        <f t="shared" si="7"/>
        <v>7.615740740740784E-3</v>
      </c>
      <c r="AJ22" s="33">
        <f t="shared" si="8"/>
        <v>5.0578703703703636E-3</v>
      </c>
      <c r="AK22" s="33">
        <f t="shared" si="5"/>
        <v>1.2673611111111148E-2</v>
      </c>
    </row>
    <row r="23" spans="2:37" ht="15.6" x14ac:dyDescent="0.3">
      <c r="B23" s="51">
        <v>10</v>
      </c>
      <c r="C23" s="9">
        <v>0.35375000000000001</v>
      </c>
      <c r="D23" s="9">
        <f>C24-C23</f>
        <v>2.1249999999999991E-2</v>
      </c>
      <c r="E23" s="14">
        <f t="shared" si="9"/>
        <v>7.1759259259257524E-4</v>
      </c>
      <c r="F23" s="10" t="str">
        <f t="shared" si="10"/>
        <v/>
      </c>
      <c r="G23" s="10">
        <v>0.35446759259259258</v>
      </c>
      <c r="H23" s="10">
        <f t="shared" si="11"/>
        <v>1.087962962962985E-3</v>
      </c>
      <c r="I23" s="10">
        <v>0.35555555555555557</v>
      </c>
      <c r="J23" s="14" t="str">
        <f t="shared" si="2"/>
        <v/>
      </c>
      <c r="K23" s="14">
        <f t="shared" si="6"/>
        <v>2.0312499999999956E-2</v>
      </c>
      <c r="L23" s="9">
        <f t="shared" si="3"/>
        <v>1.9675925925927151E-4</v>
      </c>
      <c r="M23" s="9">
        <f t="shared" si="4"/>
        <v>0.35555555555555557</v>
      </c>
      <c r="N23" s="9">
        <f t="shared" si="0"/>
        <v>4.1666666666666519E-3</v>
      </c>
      <c r="O23" s="9">
        <v>0.35972222222222222</v>
      </c>
      <c r="P23" s="21" t="s">
        <v>17</v>
      </c>
      <c r="Q23" s="14">
        <f>Y23-O23</f>
        <v>5.0000000000000044E-3</v>
      </c>
      <c r="R23" s="48">
        <f t="shared" ref="R23" si="14">O24-O23</f>
        <v>1.8101851851851869E-2</v>
      </c>
      <c r="S23" s="16"/>
      <c r="T23" s="10"/>
      <c r="U23" s="10"/>
      <c r="V23" s="10"/>
      <c r="W23" s="17"/>
      <c r="X23" s="17"/>
      <c r="Y23" s="17">
        <f>AA20</f>
        <v>0.36472222222222223</v>
      </c>
      <c r="Z23" s="17">
        <v>1.0381944444444444E-2</v>
      </c>
      <c r="AA23" s="17">
        <f t="shared" si="13"/>
        <v>0.37510416666666668</v>
      </c>
      <c r="AB23" s="17" t="s">
        <v>7</v>
      </c>
      <c r="AC23" s="14"/>
      <c r="AD23" s="14">
        <f>V24-AA23</f>
        <v>7.9861111111111382E-3</v>
      </c>
      <c r="AE23" s="9"/>
      <c r="AF23" s="9">
        <f>AA23</f>
        <v>0.37510416666666668</v>
      </c>
      <c r="AG23" s="9">
        <v>1.9907407407407374E-3</v>
      </c>
      <c r="AH23" s="9">
        <f>AF23+AG23</f>
        <v>0.37709490740740742</v>
      </c>
      <c r="AI23" s="22">
        <f t="shared" si="7"/>
        <v>5.7175925925925797E-3</v>
      </c>
      <c r="AJ23" s="33">
        <f t="shared" si="8"/>
        <v>1.7627314814814818E-2</v>
      </c>
      <c r="AK23" s="33">
        <f t="shared" si="5"/>
        <v>2.3344907407407398E-2</v>
      </c>
    </row>
    <row r="24" spans="2:37" ht="15.6" x14ac:dyDescent="0.3">
      <c r="B24" s="56">
        <v>11</v>
      </c>
      <c r="C24" s="9">
        <v>0.375</v>
      </c>
      <c r="D24" s="9">
        <v>6.3657407407408106E-4</v>
      </c>
      <c r="E24" s="14" t="str">
        <f t="shared" si="9"/>
        <v/>
      </c>
      <c r="F24" s="10">
        <f t="shared" si="10"/>
        <v>1.9444444444444431E-2</v>
      </c>
      <c r="G24" s="10">
        <v>0.375</v>
      </c>
      <c r="H24" s="10">
        <v>8.6805555555552472E-4</v>
      </c>
      <c r="I24" s="10">
        <f>G24+H24</f>
        <v>0.37586805555555552</v>
      </c>
      <c r="J24" s="14" t="str">
        <f t="shared" si="2"/>
        <v/>
      </c>
      <c r="K24" s="14">
        <f t="shared" si="6"/>
        <v>1.2731481481481621E-3</v>
      </c>
      <c r="L24" s="9">
        <f t="shared" si="3"/>
        <v>1.6145833333333304E-2</v>
      </c>
      <c r="M24" s="9">
        <f t="shared" si="4"/>
        <v>0.37586805555555552</v>
      </c>
      <c r="N24" s="9">
        <v>1.9560185185185652E-3</v>
      </c>
      <c r="O24" s="9">
        <f>M24+N24</f>
        <v>0.37782407407407409</v>
      </c>
      <c r="P24" s="21" t="s">
        <v>17</v>
      </c>
      <c r="Q24" s="14"/>
      <c r="R24" s="48">
        <f>O26-O24</f>
        <v>3.8425925925925641E-3</v>
      </c>
      <c r="S24" s="16">
        <f>T24-V22</f>
        <v>1.1874999999999969E-2</v>
      </c>
      <c r="T24" s="10">
        <f>O24</f>
        <v>0.37782407407407409</v>
      </c>
      <c r="U24" s="10">
        <v>5.2662037037037035E-3</v>
      </c>
      <c r="V24" s="10">
        <f t="shared" ref="V24:V53" si="15">T24+U24</f>
        <v>0.38309027777777782</v>
      </c>
      <c r="W24" s="17" t="s">
        <v>7</v>
      </c>
      <c r="X24" s="17"/>
      <c r="Y24" s="17"/>
      <c r="Z24" s="17"/>
      <c r="AA24" s="17"/>
      <c r="AB24" s="17"/>
      <c r="AC24" s="14"/>
      <c r="AD24" s="14">
        <f>V27-V24</f>
        <v>1.2685185185185133E-2</v>
      </c>
      <c r="AE24" s="9"/>
      <c r="AF24" s="9">
        <f>V24</f>
        <v>0.38309027777777782</v>
      </c>
      <c r="AG24" s="9">
        <v>2.5115740740740966E-3</v>
      </c>
      <c r="AH24" s="9">
        <f>AF24+AG24</f>
        <v>0.38560185185185192</v>
      </c>
      <c r="AI24" s="22">
        <f t="shared" si="7"/>
        <v>0</v>
      </c>
      <c r="AJ24" s="33">
        <f t="shared" si="8"/>
        <v>1.060185185185189E-2</v>
      </c>
      <c r="AK24" s="33">
        <f t="shared" si="5"/>
        <v>1.060185185185189E-2</v>
      </c>
    </row>
    <row r="25" spans="2:37" ht="15.6" x14ac:dyDescent="0.3">
      <c r="B25" s="56">
        <v>12</v>
      </c>
      <c r="C25" s="9">
        <f>C24+D24</f>
        <v>0.37563657407407408</v>
      </c>
      <c r="D25" s="9">
        <v>1.3078703703703343E-3</v>
      </c>
      <c r="E25" s="14">
        <f>IF(G25&gt;C25,G25-C25,"")</f>
        <v>2.3148148148144365E-4</v>
      </c>
      <c r="F25" s="10" t="str">
        <f>IF(G25&gt;I24,G25-I24,"")</f>
        <v/>
      </c>
      <c r="G25" s="10">
        <f>IF(I24&gt;C25,I24,C25)</f>
        <v>0.37586805555555552</v>
      </c>
      <c r="H25" s="10">
        <v>1.2731481481481621E-3</v>
      </c>
      <c r="I25" s="10">
        <f t="shared" ref="I25:I33" si="16">G25+H25</f>
        <v>0.37714120370370369</v>
      </c>
      <c r="J25" s="14">
        <f t="shared" si="2"/>
        <v>6.828703703704031E-4</v>
      </c>
      <c r="K25" s="14">
        <f t="shared" si="6"/>
        <v>9.1435185185184675E-4</v>
      </c>
      <c r="L25" s="9" t="str">
        <f t="shared" si="3"/>
        <v/>
      </c>
      <c r="M25" s="9">
        <f t="shared" si="4"/>
        <v>0.37782407407407409</v>
      </c>
      <c r="N25" s="9">
        <v>2.5231481481481355E-3</v>
      </c>
      <c r="O25" s="9">
        <f t="shared" ref="O25:O33" si="17">M25+N25</f>
        <v>0.38034722222222223</v>
      </c>
      <c r="P25" s="21" t="s">
        <v>18</v>
      </c>
      <c r="Q25" s="14"/>
      <c r="R25" s="48"/>
      <c r="S25" s="16"/>
      <c r="T25" s="10"/>
      <c r="U25" s="10"/>
      <c r="V25" s="10"/>
      <c r="W25" s="17"/>
      <c r="X25" s="17"/>
      <c r="Y25" s="17"/>
      <c r="Z25" s="17"/>
      <c r="AA25" s="17"/>
      <c r="AB25" s="17"/>
      <c r="AC25" s="14"/>
      <c r="AD25" s="14"/>
      <c r="AE25" s="9"/>
      <c r="AF25" s="9"/>
      <c r="AG25" s="9"/>
      <c r="AH25" s="9"/>
      <c r="AI25" s="22">
        <f t="shared" si="7"/>
        <v>9.1435185185184675E-4</v>
      </c>
      <c r="AJ25" s="33">
        <f t="shared" si="8"/>
        <v>3.7962962962962976E-3</v>
      </c>
      <c r="AK25" s="33">
        <f t="shared" si="5"/>
        <v>4.7106481481481444E-3</v>
      </c>
    </row>
    <row r="26" spans="2:37" ht="15.6" x14ac:dyDescent="0.3">
      <c r="B26" s="56">
        <v>13</v>
      </c>
      <c r="C26" s="9">
        <f t="shared" ref="C26:C32" si="18">C25+D25</f>
        <v>0.37694444444444442</v>
      </c>
      <c r="D26" s="9">
        <v>1.0185185185185297E-3</v>
      </c>
      <c r="E26" s="14">
        <f t="shared" si="9"/>
        <v>1.9675925925927151E-4</v>
      </c>
      <c r="F26" s="10" t="str">
        <f t="shared" si="10"/>
        <v/>
      </c>
      <c r="G26" s="10">
        <f t="shared" ref="G26:G33" si="19">IF(I25&gt;C26,I25,C26)</f>
        <v>0.37714120370370369</v>
      </c>
      <c r="H26" s="10">
        <v>9.1435185185184675E-4</v>
      </c>
      <c r="I26" s="10">
        <f t="shared" si="16"/>
        <v>0.37805555555555553</v>
      </c>
      <c r="J26" s="14">
        <f t="shared" si="2"/>
        <v>2.2916666666666918E-3</v>
      </c>
      <c r="K26" s="14">
        <f t="shared" si="6"/>
        <v>3.4027777777778101E-3</v>
      </c>
      <c r="L26" s="9" t="str">
        <f t="shared" si="3"/>
        <v/>
      </c>
      <c r="M26" s="9">
        <f t="shared" si="4"/>
        <v>0.38034722222222223</v>
      </c>
      <c r="N26" s="9">
        <v>1.3194444444444287E-3</v>
      </c>
      <c r="O26" s="9">
        <f t="shared" si="17"/>
        <v>0.38166666666666665</v>
      </c>
      <c r="P26" s="21" t="s">
        <v>17</v>
      </c>
      <c r="Q26" s="14"/>
      <c r="R26" s="48">
        <f>O27-O26</f>
        <v>3.0208333333333615E-3</v>
      </c>
      <c r="S26" s="16"/>
      <c r="T26" s="10"/>
      <c r="U26" s="17"/>
      <c r="V26" s="10"/>
      <c r="W26" s="17"/>
      <c r="X26" s="17">
        <f>Y26-AA23</f>
        <v>6.5624999999999711E-3</v>
      </c>
      <c r="Y26" s="17">
        <f>O26</f>
        <v>0.38166666666666665</v>
      </c>
      <c r="Z26" s="17">
        <v>2.4074074074074076E-3</v>
      </c>
      <c r="AA26" s="17">
        <f>Y26+Z26</f>
        <v>0.38407407407407407</v>
      </c>
      <c r="AB26" s="17" t="s">
        <v>19</v>
      </c>
      <c r="AC26" s="14"/>
      <c r="AD26" s="14"/>
      <c r="AE26" s="9"/>
      <c r="AF26" s="9"/>
      <c r="AG26" s="9"/>
      <c r="AH26" s="9"/>
      <c r="AI26" s="22">
        <f t="shared" si="7"/>
        <v>2.4884259259259633E-3</v>
      </c>
      <c r="AJ26" s="33">
        <f t="shared" si="8"/>
        <v>4.641203703703683E-3</v>
      </c>
      <c r="AK26" s="33">
        <f t="shared" si="5"/>
        <v>7.1296296296296463E-3</v>
      </c>
    </row>
    <row r="27" spans="2:37" ht="15.6" x14ac:dyDescent="0.3">
      <c r="B27" s="56">
        <v>14</v>
      </c>
      <c r="C27" s="9">
        <f t="shared" si="18"/>
        <v>0.37796296296296295</v>
      </c>
      <c r="D27" s="9">
        <v>4.4328703703703787E-3</v>
      </c>
      <c r="E27" s="14">
        <f t="shared" si="9"/>
        <v>9.2592592592588563E-5</v>
      </c>
      <c r="F27" s="10" t="str">
        <f t="shared" si="10"/>
        <v/>
      </c>
      <c r="G27" s="10">
        <f t="shared" si="19"/>
        <v>0.37805555555555553</v>
      </c>
      <c r="H27" s="10">
        <v>3.4027777777778101E-3</v>
      </c>
      <c r="I27" s="10">
        <f t="shared" si="16"/>
        <v>0.38145833333333334</v>
      </c>
      <c r="J27" s="14">
        <f t="shared" si="2"/>
        <v>2.0833333333331039E-4</v>
      </c>
      <c r="K27" s="14">
        <f t="shared" si="6"/>
        <v>1.6666666666666496E-3</v>
      </c>
      <c r="L27" s="9" t="str">
        <f t="shared" si="3"/>
        <v/>
      </c>
      <c r="M27" s="9">
        <f t="shared" si="4"/>
        <v>0.38166666666666665</v>
      </c>
      <c r="N27" s="9">
        <v>3.0208333333333615E-3</v>
      </c>
      <c r="O27" s="9">
        <f t="shared" si="17"/>
        <v>0.38468750000000002</v>
      </c>
      <c r="P27" s="21" t="s">
        <v>17</v>
      </c>
      <c r="Q27" s="14"/>
      <c r="R27" s="48">
        <f t="shared" ref="R27:R30" si="20">O28-O27</f>
        <v>2.0833333333333259E-3</v>
      </c>
      <c r="S27" s="16">
        <f>T27-V24</f>
        <v>1.5972222222221943E-3</v>
      </c>
      <c r="T27" s="10">
        <f>O27</f>
        <v>0.38468750000000002</v>
      </c>
      <c r="U27" s="10">
        <v>1.1087962962962963E-2</v>
      </c>
      <c r="V27" s="10">
        <f t="shared" si="15"/>
        <v>0.39577546296296295</v>
      </c>
      <c r="W27" s="17" t="s">
        <v>7</v>
      </c>
      <c r="X27" s="17"/>
      <c r="Y27" s="17"/>
      <c r="Z27" s="17"/>
      <c r="AA27" s="17"/>
      <c r="AB27" s="17"/>
      <c r="AC27" s="14"/>
      <c r="AD27" s="14">
        <f>AA29-V27</f>
        <v>6.134259259259256E-3</v>
      </c>
      <c r="AE27" s="9">
        <f>AF27-AH24</f>
        <v>1.0173611111111036E-2</v>
      </c>
      <c r="AF27" s="9">
        <f>V27</f>
        <v>0.39577546296296295</v>
      </c>
      <c r="AG27" s="9">
        <v>5.4745370370370416E-3</v>
      </c>
      <c r="AH27" s="9">
        <f>AF27+AG27</f>
        <v>0.40125</v>
      </c>
      <c r="AI27" s="22">
        <f t="shared" si="7"/>
        <v>3.0092592592589895E-4</v>
      </c>
      <c r="AJ27" s="33">
        <f t="shared" si="8"/>
        <v>2.2986111111111176E-2</v>
      </c>
      <c r="AK27" s="33">
        <f t="shared" si="5"/>
        <v>2.3287037037037075E-2</v>
      </c>
    </row>
    <row r="28" spans="2:37" ht="15.6" x14ac:dyDescent="0.3">
      <c r="B28" s="56">
        <v>15</v>
      </c>
      <c r="C28" s="9">
        <f t="shared" si="18"/>
        <v>0.38239583333333332</v>
      </c>
      <c r="D28" s="9">
        <v>5.2430555555555425E-3</v>
      </c>
      <c r="E28" s="14" t="str">
        <f t="shared" si="9"/>
        <v/>
      </c>
      <c r="F28" s="10">
        <f t="shared" si="10"/>
        <v>9.3749999999998002E-4</v>
      </c>
      <c r="G28" s="10">
        <f t="shared" si="19"/>
        <v>0.38239583333333332</v>
      </c>
      <c r="H28" s="10">
        <v>7.2916666666666963E-4</v>
      </c>
      <c r="I28" s="10">
        <f t="shared" si="16"/>
        <v>0.38312499999999999</v>
      </c>
      <c r="J28" s="14">
        <f t="shared" si="2"/>
        <v>1.5625000000000222E-3</v>
      </c>
      <c r="K28" s="14">
        <f t="shared" si="6"/>
        <v>5.3703703703703587E-3</v>
      </c>
      <c r="L28" s="9" t="str">
        <f t="shared" si="3"/>
        <v/>
      </c>
      <c r="M28" s="9">
        <f t="shared" si="4"/>
        <v>0.38468750000000002</v>
      </c>
      <c r="N28" s="9">
        <v>2.0833333333333259E-3</v>
      </c>
      <c r="O28" s="9">
        <f t="shared" si="17"/>
        <v>0.38677083333333334</v>
      </c>
      <c r="P28" s="21" t="s">
        <v>17</v>
      </c>
      <c r="Q28" s="14"/>
      <c r="R28" s="48">
        <f t="shared" si="20"/>
        <v>2.7430555555555403E-3</v>
      </c>
      <c r="S28" s="16"/>
      <c r="T28" s="10"/>
      <c r="U28" s="10"/>
      <c r="V28" s="10"/>
      <c r="W28" s="17"/>
      <c r="X28" s="16">
        <v>2.6967592592592737E-3</v>
      </c>
      <c r="Y28" s="17">
        <f>O28</f>
        <v>0.38677083333333334</v>
      </c>
      <c r="Z28" s="17">
        <v>3.8773148148148148E-3</v>
      </c>
      <c r="AA28" s="17">
        <f t="shared" si="13"/>
        <v>0.39064814814814813</v>
      </c>
      <c r="AB28" s="17" t="s">
        <v>19</v>
      </c>
      <c r="AC28" s="14"/>
      <c r="AD28" s="14"/>
      <c r="AE28" s="9"/>
      <c r="AF28" s="9"/>
      <c r="AG28" s="9"/>
      <c r="AH28" s="9"/>
      <c r="AI28" s="22">
        <f t="shared" si="7"/>
        <v>1.5625000000000222E-3</v>
      </c>
      <c r="AJ28" s="33">
        <f t="shared" si="8"/>
        <v>6.6898148148148099E-3</v>
      </c>
      <c r="AK28" s="33">
        <f t="shared" si="5"/>
        <v>8.2523148148148321E-3</v>
      </c>
    </row>
    <row r="29" spans="2:37" ht="15.6" x14ac:dyDescent="0.3">
      <c r="B29" s="56">
        <v>16</v>
      </c>
      <c r="C29" s="9">
        <f t="shared" si="18"/>
        <v>0.38763888888888887</v>
      </c>
      <c r="D29" s="9">
        <v>4.3981481481480955E-4</v>
      </c>
      <c r="E29" s="14" t="str">
        <f t="shared" si="9"/>
        <v/>
      </c>
      <c r="F29" s="10">
        <f t="shared" si="10"/>
        <v>4.5138888888888729E-3</v>
      </c>
      <c r="G29" s="10">
        <f t="shared" si="19"/>
        <v>0.38763888888888887</v>
      </c>
      <c r="H29" s="10">
        <v>8.5648148148148584E-4</v>
      </c>
      <c r="I29" s="10">
        <f t="shared" si="16"/>
        <v>0.38849537037037035</v>
      </c>
      <c r="J29" s="14" t="str">
        <f t="shared" si="2"/>
        <v/>
      </c>
      <c r="K29" s="14">
        <f t="shared" si="6"/>
        <v>9.490740740740744E-4</v>
      </c>
      <c r="L29" s="9">
        <f t="shared" si="3"/>
        <v>1.7245370370370106E-3</v>
      </c>
      <c r="M29" s="9">
        <f t="shared" si="4"/>
        <v>0.38849537037037035</v>
      </c>
      <c r="N29" s="9">
        <v>1.0185185185185297E-3</v>
      </c>
      <c r="O29" s="9">
        <f t="shared" si="17"/>
        <v>0.38951388888888888</v>
      </c>
      <c r="P29" s="21" t="s">
        <v>17</v>
      </c>
      <c r="Q29" s="14">
        <f>Y29-O29</f>
        <v>1.1342592592592515E-3</v>
      </c>
      <c r="R29" s="48">
        <f t="shared" si="20"/>
        <v>1.5856481481481555E-3</v>
      </c>
      <c r="S29" s="16"/>
      <c r="T29" s="10"/>
      <c r="U29" s="10"/>
      <c r="V29" s="10"/>
      <c r="W29" s="17"/>
      <c r="X29" s="17"/>
      <c r="Y29" s="17">
        <f>AA28</f>
        <v>0.39064814814814813</v>
      </c>
      <c r="Z29" s="17">
        <v>1.1261574074074075E-2</v>
      </c>
      <c r="AA29" s="17">
        <f t="shared" si="13"/>
        <v>0.40190972222222221</v>
      </c>
      <c r="AB29" s="17" t="s">
        <v>7</v>
      </c>
      <c r="AC29" s="14"/>
      <c r="AD29" s="14">
        <f>AA33-AA29</f>
        <v>6.6782407407407485E-3</v>
      </c>
      <c r="AE29" s="9">
        <f>AF29-AH27</f>
        <v>6.5972222222221433E-4</v>
      </c>
      <c r="AF29" s="9">
        <f>AA29</f>
        <v>0.40190972222222221</v>
      </c>
      <c r="AG29" s="9">
        <v>4.2592592592592959E-3</v>
      </c>
      <c r="AH29" s="9">
        <f>AF29+AG29</f>
        <v>0.40616898148148151</v>
      </c>
      <c r="AI29" s="22">
        <f t="shared" si="7"/>
        <v>1.1342592592592515E-3</v>
      </c>
      <c r="AJ29" s="33">
        <f t="shared" si="8"/>
        <v>1.7395833333333388E-2</v>
      </c>
      <c r="AK29" s="33">
        <f t="shared" si="5"/>
        <v>1.853009259259264E-2</v>
      </c>
    </row>
    <row r="30" spans="2:37" ht="15.6" x14ac:dyDescent="0.3">
      <c r="B30" s="56">
        <v>17</v>
      </c>
      <c r="C30" s="9">
        <f t="shared" si="18"/>
        <v>0.38807870370370368</v>
      </c>
      <c r="D30" s="9">
        <v>7.4074074074076401E-4</v>
      </c>
      <c r="E30" s="14">
        <f t="shared" si="9"/>
        <v>4.1666666666667629E-4</v>
      </c>
      <c r="F30" s="10" t="str">
        <f t="shared" si="10"/>
        <v/>
      </c>
      <c r="G30" s="10">
        <f t="shared" si="19"/>
        <v>0.38849537037037035</v>
      </c>
      <c r="H30" s="10">
        <v>9.490740740740744E-4</v>
      </c>
      <c r="I30" s="10">
        <f t="shared" si="16"/>
        <v>0.38944444444444443</v>
      </c>
      <c r="J30" s="14">
        <f t="shared" si="2"/>
        <v>6.94444444444553E-5</v>
      </c>
      <c r="K30" s="14">
        <f t="shared" si="6"/>
        <v>1.4004629629629783E-3</v>
      </c>
      <c r="L30" s="9" t="str">
        <f t="shared" si="3"/>
        <v/>
      </c>
      <c r="M30" s="9">
        <f t="shared" si="4"/>
        <v>0.38951388888888888</v>
      </c>
      <c r="N30" s="9">
        <v>1.5856481481481555E-3</v>
      </c>
      <c r="O30" s="9">
        <f t="shared" si="17"/>
        <v>0.39109953703703704</v>
      </c>
      <c r="P30" s="21" t="s">
        <v>17</v>
      </c>
      <c r="Q30" s="14">
        <f>T30-O30</f>
        <v>4.6759259259259167E-3</v>
      </c>
      <c r="R30" s="48">
        <f t="shared" si="20"/>
        <v>1.9560185185185097E-3</v>
      </c>
      <c r="S30" s="16"/>
      <c r="T30" s="10">
        <f>V27</f>
        <v>0.39577546296296295</v>
      </c>
      <c r="U30" s="10">
        <v>4.5949074074074078E-3</v>
      </c>
      <c r="V30" s="10">
        <f t="shared" si="15"/>
        <v>0.40037037037037038</v>
      </c>
      <c r="W30" s="17" t="s">
        <v>19</v>
      </c>
      <c r="X30" s="17"/>
      <c r="Y30" s="17"/>
      <c r="Z30" s="17"/>
      <c r="AA30" s="17"/>
      <c r="AB30" s="17"/>
      <c r="AC30" s="14"/>
      <c r="AD30" s="14"/>
      <c r="AE30" s="9"/>
      <c r="AF30" s="9"/>
      <c r="AG30" s="9"/>
      <c r="AH30" s="9"/>
      <c r="AI30" s="22">
        <f t="shared" si="7"/>
        <v>5.1620370370370483E-3</v>
      </c>
      <c r="AJ30" s="33">
        <f t="shared" si="8"/>
        <v>7.1296296296296377E-3</v>
      </c>
      <c r="AK30" s="33">
        <f t="shared" si="5"/>
        <v>1.2291666666666687E-2</v>
      </c>
    </row>
    <row r="31" spans="2:37" ht="15.6" x14ac:dyDescent="0.3">
      <c r="B31" s="56">
        <v>18</v>
      </c>
      <c r="C31" s="9">
        <f t="shared" si="18"/>
        <v>0.38881944444444444</v>
      </c>
      <c r="D31" s="9">
        <v>1.6435185185185164E-3</v>
      </c>
      <c r="E31" s="14">
        <f t="shared" si="9"/>
        <v>6.2499999999998668E-4</v>
      </c>
      <c r="F31" s="10" t="str">
        <f t="shared" si="10"/>
        <v/>
      </c>
      <c r="G31" s="10">
        <f t="shared" si="19"/>
        <v>0.38944444444444443</v>
      </c>
      <c r="H31" s="10">
        <v>1.4004629629629783E-3</v>
      </c>
      <c r="I31" s="10">
        <f t="shared" si="16"/>
        <v>0.3908449074074074</v>
      </c>
      <c r="J31" s="14">
        <f t="shared" si="2"/>
        <v>2.5462962962963243E-4</v>
      </c>
      <c r="K31" s="14">
        <f t="shared" si="6"/>
        <v>5.0925925925926485E-4</v>
      </c>
      <c r="L31" s="9" t="str">
        <f t="shared" si="3"/>
        <v/>
      </c>
      <c r="M31" s="9">
        <f t="shared" si="4"/>
        <v>0.39109953703703704</v>
      </c>
      <c r="N31" s="9">
        <v>1.9560185185185097E-3</v>
      </c>
      <c r="O31" s="9">
        <f t="shared" si="17"/>
        <v>0.39305555555555555</v>
      </c>
      <c r="P31" s="21" t="s">
        <v>17</v>
      </c>
      <c r="Q31" s="14">
        <f>T31-O31</f>
        <v>7.3148148148148295E-3</v>
      </c>
      <c r="R31" s="48">
        <f>O33-O31</f>
        <v>2.6967592592592737E-3</v>
      </c>
      <c r="S31" s="16"/>
      <c r="T31" s="10">
        <f>V30</f>
        <v>0.40037037037037038</v>
      </c>
      <c r="U31" s="10">
        <v>1.4189814814814815E-2</v>
      </c>
      <c r="V31" s="10">
        <f t="shared" si="15"/>
        <v>0.41456018518518517</v>
      </c>
      <c r="W31" s="17" t="s">
        <v>7</v>
      </c>
      <c r="X31" s="17"/>
      <c r="Y31" s="17"/>
      <c r="Z31" s="17"/>
      <c r="AA31" s="17"/>
      <c r="AB31" s="17"/>
      <c r="AC31" s="14"/>
      <c r="AD31" s="14">
        <f>V39-V31</f>
        <v>3.2511574074074068E-2</v>
      </c>
      <c r="AE31" s="9">
        <f>AF31-AH29</f>
        <v>8.3912037037036646E-3</v>
      </c>
      <c r="AF31" s="9">
        <f>V31</f>
        <v>0.41456018518518517</v>
      </c>
      <c r="AG31" s="9">
        <v>6.5625000000000266E-3</v>
      </c>
      <c r="AH31" s="9">
        <f>AF31+AG31</f>
        <v>0.4211226851851852</v>
      </c>
      <c r="AI31" s="22">
        <f t="shared" si="7"/>
        <v>8.1944444444444486E-3</v>
      </c>
      <c r="AJ31" s="33">
        <f t="shared" si="8"/>
        <v>2.410879629629633E-2</v>
      </c>
      <c r="AK31" s="33">
        <f t="shared" si="5"/>
        <v>3.2303240740740778E-2</v>
      </c>
    </row>
    <row r="32" spans="2:37" ht="15.6" x14ac:dyDescent="0.3">
      <c r="B32" s="56">
        <v>19</v>
      </c>
      <c r="C32" s="9">
        <f t="shared" si="18"/>
        <v>0.39046296296296296</v>
      </c>
      <c r="D32" s="9">
        <v>1.388888888889106E-4</v>
      </c>
      <c r="E32" s="14">
        <f t="shared" si="9"/>
        <v>3.8194444444444864E-4</v>
      </c>
      <c r="F32" s="10" t="str">
        <f t="shared" si="10"/>
        <v/>
      </c>
      <c r="G32" s="10">
        <f t="shared" si="19"/>
        <v>0.3908449074074074</v>
      </c>
      <c r="H32" s="10">
        <v>5.0925925925926485E-4</v>
      </c>
      <c r="I32" s="10">
        <f t="shared" si="16"/>
        <v>0.39135416666666667</v>
      </c>
      <c r="J32" s="14">
        <f t="shared" si="2"/>
        <v>1.7013888888888773E-3</v>
      </c>
      <c r="K32" s="14">
        <f t="shared" si="6"/>
        <v>4.745370370370372E-4</v>
      </c>
      <c r="L32" s="9" t="str">
        <f t="shared" si="3"/>
        <v/>
      </c>
      <c r="M32" s="9">
        <f t="shared" si="4"/>
        <v>0.39305555555555555</v>
      </c>
      <c r="N32" s="9">
        <v>1.5625000000000222E-3</v>
      </c>
      <c r="O32" s="9">
        <f t="shared" si="17"/>
        <v>0.39461805555555557</v>
      </c>
      <c r="P32" s="21" t="s">
        <v>18</v>
      </c>
      <c r="Q32" s="14"/>
      <c r="R32" s="48"/>
      <c r="S32" s="16"/>
      <c r="T32" s="10"/>
      <c r="U32" s="10"/>
      <c r="V32" s="10"/>
      <c r="W32" s="17"/>
      <c r="X32" s="17"/>
      <c r="Y32" s="17"/>
      <c r="Z32" s="17"/>
      <c r="AA32" s="17"/>
      <c r="AB32" s="17"/>
      <c r="AC32" s="14"/>
      <c r="AD32" s="14"/>
      <c r="AE32" s="9" t="s">
        <v>20</v>
      </c>
      <c r="AF32" s="9"/>
      <c r="AG32" s="9"/>
      <c r="AH32" s="9"/>
      <c r="AI32" s="22">
        <f t="shared" si="7"/>
        <v>2.0833333333333259E-3</v>
      </c>
      <c r="AJ32" s="33">
        <f t="shared" si="8"/>
        <v>2.0717592592592871E-3</v>
      </c>
      <c r="AK32" s="33">
        <f t="shared" si="5"/>
        <v>4.155092592592613E-3</v>
      </c>
    </row>
    <row r="33" spans="2:37" ht="15.6" x14ac:dyDescent="0.3">
      <c r="B33" s="56">
        <v>20</v>
      </c>
      <c r="C33" s="9">
        <f>C32+D32</f>
        <v>0.39060185185185187</v>
      </c>
      <c r="D33" s="9">
        <f>C34-C33</f>
        <v>2.6064814814814818E-2</v>
      </c>
      <c r="E33" s="14">
        <f t="shared" si="9"/>
        <v>7.5231481481480289E-4</v>
      </c>
      <c r="F33" s="10" t="str">
        <f t="shared" si="10"/>
        <v/>
      </c>
      <c r="G33" s="10">
        <f t="shared" si="19"/>
        <v>0.39135416666666667</v>
      </c>
      <c r="H33" s="10">
        <v>4.745370370370372E-4</v>
      </c>
      <c r="I33" s="10">
        <f t="shared" si="16"/>
        <v>0.39182870370370371</v>
      </c>
      <c r="J33" s="14">
        <f t="shared" si="2"/>
        <v>2.7893518518518623E-3</v>
      </c>
      <c r="K33" s="14">
        <f t="shared" si="6"/>
        <v>2.5462962962962965E-2</v>
      </c>
      <c r="L33" s="9" t="str">
        <f t="shared" si="3"/>
        <v/>
      </c>
      <c r="M33" s="9">
        <f t="shared" si="4"/>
        <v>0.39461805555555557</v>
      </c>
      <c r="N33" s="9">
        <v>1.1342592592592515E-3</v>
      </c>
      <c r="O33" s="9">
        <f t="shared" si="17"/>
        <v>0.39575231481481482</v>
      </c>
      <c r="P33" s="21" t="s">
        <v>17</v>
      </c>
      <c r="Q33" s="14">
        <f>Y33-O33</f>
        <v>6.1574074074073892E-3</v>
      </c>
      <c r="R33" s="48">
        <f>O36-O33</f>
        <v>2.7812499999999962E-2</v>
      </c>
      <c r="S33" s="16"/>
      <c r="T33" s="10"/>
      <c r="U33" s="10"/>
      <c r="V33" s="10"/>
      <c r="W33" s="17"/>
      <c r="X33" s="17"/>
      <c r="Y33" s="17">
        <f>AA29</f>
        <v>0.40190972222222221</v>
      </c>
      <c r="Z33" s="17">
        <v>6.6782407407407407E-3</v>
      </c>
      <c r="AA33" s="17">
        <f t="shared" si="13"/>
        <v>0.40858796296296296</v>
      </c>
      <c r="AB33" s="17" t="s">
        <v>7</v>
      </c>
      <c r="AC33" s="14">
        <f>AF33-AA33</f>
        <v>1.2534722222222239E-2</v>
      </c>
      <c r="AD33" s="14">
        <f>V31-AA33</f>
        <v>5.9722222222222121E-3</v>
      </c>
      <c r="AE33" s="9"/>
      <c r="AF33" s="9">
        <f>AH31</f>
        <v>0.4211226851851852</v>
      </c>
      <c r="AG33" s="9">
        <v>1.2152777777778012E-3</v>
      </c>
      <c r="AH33" s="9">
        <f>AF33+AG33</f>
        <v>0.422337962962963</v>
      </c>
      <c r="AI33" s="22">
        <f t="shared" si="7"/>
        <v>2.2233796296296293E-2</v>
      </c>
      <c r="AJ33" s="33">
        <f t="shared" si="8"/>
        <v>9.5023148148148315E-3</v>
      </c>
      <c r="AK33" s="33">
        <f t="shared" si="5"/>
        <v>3.1736111111111125E-2</v>
      </c>
    </row>
    <row r="34" spans="2:37" ht="15.6" x14ac:dyDescent="0.3">
      <c r="B34" s="62">
        <v>21</v>
      </c>
      <c r="C34" s="9">
        <v>0.41666666666666669</v>
      </c>
      <c r="D34" s="9">
        <v>5.0925925925926485E-4</v>
      </c>
      <c r="E34" s="14" t="str">
        <f t="shared" si="9"/>
        <v/>
      </c>
      <c r="F34" s="10">
        <f t="shared" si="10"/>
        <v>2.4837962962962978E-2</v>
      </c>
      <c r="G34" s="10">
        <f t="shared" ref="G34:G38" si="21">IF(C34&gt;I33,C34,I33)</f>
        <v>0.41666666666666669</v>
      </c>
      <c r="H34" s="10">
        <v>6.2499999999998668E-4</v>
      </c>
      <c r="I34" s="10">
        <f>G34+H34</f>
        <v>0.41729166666666667</v>
      </c>
      <c r="J34" s="14" t="str">
        <f t="shared" si="2"/>
        <v/>
      </c>
      <c r="K34" s="14">
        <f t="shared" si="6"/>
        <v>8.5648148148148584E-4</v>
      </c>
      <c r="L34" s="9">
        <f t="shared" si="3"/>
        <v>2.1539351851851851E-2</v>
      </c>
      <c r="M34" s="9">
        <f t="shared" si="4"/>
        <v>0.41729166666666667</v>
      </c>
      <c r="N34" s="9">
        <v>1.4004629629629228E-3</v>
      </c>
      <c r="O34" s="9">
        <f>M34+N34</f>
        <v>0.41869212962962959</v>
      </c>
      <c r="P34" s="21" t="s">
        <v>18</v>
      </c>
      <c r="Q34" s="14"/>
      <c r="R34" s="48"/>
      <c r="S34" s="16"/>
      <c r="T34" s="10"/>
      <c r="U34" s="10"/>
      <c r="V34" s="10"/>
      <c r="W34" s="17"/>
      <c r="X34" s="17"/>
      <c r="Y34" s="17"/>
      <c r="Z34" s="17"/>
      <c r="AA34" s="17"/>
      <c r="AB34" s="17"/>
      <c r="AC34" s="14"/>
      <c r="AD34" s="14"/>
      <c r="AE34" s="9" t="s">
        <v>20</v>
      </c>
      <c r="AF34" s="9"/>
      <c r="AG34" s="9"/>
      <c r="AH34" s="9"/>
      <c r="AI34" s="22">
        <f t="shared" si="7"/>
        <v>0</v>
      </c>
      <c r="AJ34" s="33">
        <f t="shared" si="8"/>
        <v>2.0254629629629095E-3</v>
      </c>
      <c r="AK34" s="33">
        <f t="shared" si="5"/>
        <v>2.0254629629629095E-3</v>
      </c>
    </row>
    <row r="35" spans="2:37" ht="15.6" x14ac:dyDescent="0.3">
      <c r="B35" s="62">
        <v>22</v>
      </c>
      <c r="C35" s="9">
        <f>C34+D34</f>
        <v>0.41717592592592595</v>
      </c>
      <c r="D35" s="9">
        <v>4.2824074074073737E-3</v>
      </c>
      <c r="E35" s="14">
        <f t="shared" si="9"/>
        <v>1.1574074074072183E-4</v>
      </c>
      <c r="F35" s="10" t="str">
        <f t="shared" si="10"/>
        <v/>
      </c>
      <c r="G35" s="10">
        <f t="shared" si="21"/>
        <v>0.41729166666666667</v>
      </c>
      <c r="H35" s="10">
        <v>8.5648148148148584E-4</v>
      </c>
      <c r="I35" s="10">
        <f t="shared" ref="I35:I43" si="22">G35+H35</f>
        <v>0.41814814814814816</v>
      </c>
      <c r="J35" s="14">
        <f t="shared" si="2"/>
        <v>5.4398148148143699E-4</v>
      </c>
      <c r="K35" s="14">
        <f t="shared" si="6"/>
        <v>4.0740740740740633E-3</v>
      </c>
      <c r="L35" s="9" t="str">
        <f t="shared" si="3"/>
        <v/>
      </c>
      <c r="M35" s="9">
        <f t="shared" si="4"/>
        <v>0.41869212962962959</v>
      </c>
      <c r="N35" s="9">
        <v>2.2106481481481977E-3</v>
      </c>
      <c r="O35" s="9">
        <f t="shared" ref="O35:O43" si="23">M35+N35</f>
        <v>0.42090277777777779</v>
      </c>
      <c r="P35" s="21" t="s">
        <v>18</v>
      </c>
      <c r="Q35" s="14"/>
      <c r="R35" s="48"/>
      <c r="S35" s="16"/>
      <c r="T35" s="10"/>
      <c r="U35" s="10"/>
      <c r="V35" s="10"/>
      <c r="W35" s="17"/>
      <c r="X35" s="17"/>
      <c r="Y35" s="17"/>
      <c r="Z35" s="17"/>
      <c r="AA35" s="17"/>
      <c r="AB35" s="17"/>
      <c r="AC35" s="14"/>
      <c r="AD35" s="14"/>
      <c r="AE35" s="9" t="s">
        <v>20</v>
      </c>
      <c r="AF35" s="9"/>
      <c r="AG35" s="9"/>
      <c r="AH35" s="9"/>
      <c r="AI35" s="22">
        <f t="shared" si="7"/>
        <v>6.5972222222215882E-4</v>
      </c>
      <c r="AJ35" s="33">
        <f t="shared" si="8"/>
        <v>3.0671296296296835E-3</v>
      </c>
      <c r="AK35" s="33">
        <f t="shared" si="5"/>
        <v>3.7268518518518423E-3</v>
      </c>
    </row>
    <row r="36" spans="2:37" ht="15.6" x14ac:dyDescent="0.3">
      <c r="B36" s="62">
        <v>23</v>
      </c>
      <c r="C36" s="9">
        <f t="shared" ref="C36:C43" si="24">C35+D35</f>
        <v>0.42145833333333332</v>
      </c>
      <c r="D36" s="9">
        <v>7.8703703703708605E-4</v>
      </c>
      <c r="E36" s="14" t="str">
        <f t="shared" si="9"/>
        <v/>
      </c>
      <c r="F36" s="10">
        <f t="shared" si="10"/>
        <v>3.310185185185166E-3</v>
      </c>
      <c r="G36" s="10">
        <f t="shared" si="21"/>
        <v>0.42145833333333332</v>
      </c>
      <c r="H36" s="10">
        <v>7.6388888888889728E-4</v>
      </c>
      <c r="I36" s="10">
        <f t="shared" si="22"/>
        <v>0.42222222222222222</v>
      </c>
      <c r="J36" s="14" t="str">
        <f t="shared" si="2"/>
        <v/>
      </c>
      <c r="K36" s="14">
        <f t="shared" si="6"/>
        <v>6.2500000000004219E-4</v>
      </c>
      <c r="L36" s="9">
        <f t="shared" si="3"/>
        <v>1.3194444444444287E-3</v>
      </c>
      <c r="M36" s="9">
        <f t="shared" si="4"/>
        <v>0.42222222222222222</v>
      </c>
      <c r="N36" s="9">
        <v>1.3425925925925619E-3</v>
      </c>
      <c r="O36" s="9">
        <f t="shared" si="23"/>
        <v>0.42356481481481478</v>
      </c>
      <c r="P36" s="7" t="s">
        <v>17</v>
      </c>
      <c r="Q36" s="14"/>
      <c r="R36" s="48">
        <f>O38-O36</f>
        <v>3.2754629629629939E-3</v>
      </c>
      <c r="S36" s="16">
        <f>T36-V31</f>
        <v>9.0046296296296124E-3</v>
      </c>
      <c r="T36" s="10">
        <f>O36</f>
        <v>0.42356481481481478</v>
      </c>
      <c r="U36" s="10">
        <v>2.5231481481481481E-3</v>
      </c>
      <c r="V36" s="10">
        <f t="shared" si="15"/>
        <v>0.42608796296296292</v>
      </c>
      <c r="W36" s="17" t="s">
        <v>19</v>
      </c>
      <c r="X36" s="17"/>
      <c r="Y36" s="17"/>
      <c r="Z36" s="17"/>
      <c r="AA36" s="17"/>
      <c r="AB36" s="17"/>
      <c r="AC36" s="14"/>
      <c r="AD36" s="14"/>
      <c r="AE36" s="9"/>
      <c r="AF36" s="9"/>
      <c r="AG36" s="9"/>
      <c r="AH36" s="9"/>
      <c r="AI36" s="22">
        <f t="shared" si="7"/>
        <v>0</v>
      </c>
      <c r="AJ36" s="33">
        <f t="shared" si="8"/>
        <v>4.6296296296296068E-3</v>
      </c>
      <c r="AK36" s="33">
        <f t="shared" si="5"/>
        <v>4.6296296296296068E-3</v>
      </c>
    </row>
    <row r="37" spans="2:37" ht="15.6" x14ac:dyDescent="0.3">
      <c r="B37" s="62">
        <v>24</v>
      </c>
      <c r="C37" s="9">
        <f t="shared" si="24"/>
        <v>0.42224537037037041</v>
      </c>
      <c r="D37" s="9">
        <v>3.2407407407403221E-4</v>
      </c>
      <c r="E37" s="14" t="str">
        <f t="shared" si="9"/>
        <v/>
      </c>
      <c r="F37" s="10">
        <f t="shared" si="10"/>
        <v>2.3148148148188774E-5</v>
      </c>
      <c r="G37" s="10">
        <f t="shared" si="21"/>
        <v>0.42224537037037041</v>
      </c>
      <c r="H37" s="10">
        <v>6.0185185185185341E-4</v>
      </c>
      <c r="I37" s="10">
        <f t="shared" si="22"/>
        <v>0.42284722222222226</v>
      </c>
      <c r="J37" s="14">
        <f t="shared" si="2"/>
        <v>7.1759259259251973E-4</v>
      </c>
      <c r="K37" s="14">
        <f t="shared" si="6"/>
        <v>7.1759259259257524E-4</v>
      </c>
      <c r="L37" s="9" t="str">
        <f t="shared" si="3"/>
        <v/>
      </c>
      <c r="M37" s="9">
        <f t="shared" si="4"/>
        <v>0.42356481481481478</v>
      </c>
      <c r="N37" s="9">
        <v>2.1180555555555536E-3</v>
      </c>
      <c r="O37" s="9">
        <f t="shared" si="23"/>
        <v>0.42568287037037034</v>
      </c>
      <c r="P37" s="7" t="s">
        <v>18</v>
      </c>
      <c r="Q37" s="14"/>
      <c r="R37" s="48"/>
      <c r="S37" s="16"/>
      <c r="T37" s="10"/>
      <c r="U37" s="10"/>
      <c r="V37" s="10"/>
      <c r="W37" s="17"/>
      <c r="X37" s="17"/>
      <c r="Y37" s="17"/>
      <c r="Z37" s="17"/>
      <c r="AA37" s="17"/>
      <c r="AB37" s="17"/>
      <c r="AC37" s="14"/>
      <c r="AD37" s="14"/>
      <c r="AE37" s="9" t="s">
        <v>20</v>
      </c>
      <c r="AF37" s="9"/>
      <c r="AG37" s="9"/>
      <c r="AH37" s="9"/>
      <c r="AI37" s="22">
        <f t="shared" si="7"/>
        <v>7.1759259259251973E-4</v>
      </c>
      <c r="AJ37" s="33">
        <f t="shared" si="8"/>
        <v>2.719907407407407E-3</v>
      </c>
      <c r="AK37" s="33">
        <f t="shared" si="5"/>
        <v>3.4374999999999267E-3</v>
      </c>
    </row>
    <row r="38" spans="2:37" ht="15.6" x14ac:dyDescent="0.3">
      <c r="B38" s="62">
        <v>25</v>
      </c>
      <c r="C38" s="9">
        <f t="shared" si="24"/>
        <v>0.42256944444444444</v>
      </c>
      <c r="D38" s="9">
        <v>1.3506944444444446E-2</v>
      </c>
      <c r="E38" s="14">
        <f t="shared" si="9"/>
        <v>2.777777777778212E-4</v>
      </c>
      <c r="F38" s="10" t="str">
        <f t="shared" si="10"/>
        <v/>
      </c>
      <c r="G38" s="10">
        <f t="shared" si="21"/>
        <v>0.42284722222222226</v>
      </c>
      <c r="H38" s="10">
        <v>7.1759259259257524E-4</v>
      </c>
      <c r="I38" s="10">
        <f t="shared" si="22"/>
        <v>0.42356481481481484</v>
      </c>
      <c r="J38" s="14">
        <f t="shared" si="2"/>
        <v>2.1180555555554981E-3</v>
      </c>
      <c r="K38" s="14">
        <f t="shared" si="6"/>
        <v>1.4074074074074072E-2</v>
      </c>
      <c r="L38" s="9" t="str">
        <f t="shared" si="3"/>
        <v/>
      </c>
      <c r="M38" s="9">
        <f t="shared" si="4"/>
        <v>0.42568287037037034</v>
      </c>
      <c r="N38" s="9">
        <v>1.1574074074074403E-3</v>
      </c>
      <c r="O38" s="9">
        <f t="shared" si="23"/>
        <v>0.42684027777777778</v>
      </c>
      <c r="P38" s="7" t="s">
        <v>17</v>
      </c>
      <c r="Q38" s="14"/>
      <c r="R38" s="48">
        <f>O39-O38</f>
        <v>1.2465277777777783E-2</v>
      </c>
      <c r="S38" s="16"/>
      <c r="T38" s="10"/>
      <c r="U38" s="10"/>
      <c r="V38" s="10"/>
      <c r="W38" s="17"/>
      <c r="X38" s="17">
        <f>Y38-AA33</f>
        <v>1.8252314814814818E-2</v>
      </c>
      <c r="Y38" s="17">
        <f>O38</f>
        <v>0.42684027777777778</v>
      </c>
      <c r="Z38" s="17">
        <v>3.2638888888888891E-3</v>
      </c>
      <c r="AA38" s="17">
        <f t="shared" si="13"/>
        <v>0.43010416666666668</v>
      </c>
      <c r="AB38" s="17" t="s">
        <v>19</v>
      </c>
      <c r="AC38" s="14"/>
      <c r="AD38" s="14"/>
      <c r="AE38" s="9"/>
      <c r="AF38" s="9"/>
      <c r="AG38" s="9"/>
      <c r="AH38" s="9"/>
      <c r="AI38" s="22">
        <f t="shared" si="7"/>
        <v>2.3958333333333193E-3</v>
      </c>
      <c r="AJ38" s="33">
        <f t="shared" si="8"/>
        <v>5.1388888888889046E-3</v>
      </c>
      <c r="AK38" s="33">
        <f t="shared" si="5"/>
        <v>7.5347222222222239E-3</v>
      </c>
    </row>
    <row r="39" spans="2:37" ht="15.6" x14ac:dyDescent="0.3">
      <c r="B39" s="62">
        <v>26</v>
      </c>
      <c r="C39" s="9">
        <f t="shared" si="24"/>
        <v>0.43607638888888889</v>
      </c>
      <c r="D39" s="9">
        <v>5.0347222222222321E-3</v>
      </c>
      <c r="E39" s="14" t="str">
        <f>IF(G39&gt;C39,G39-C39,"")</f>
        <v/>
      </c>
      <c r="F39" s="10">
        <f>IF(G39&gt;I38,G39-I38,"")</f>
        <v>1.251157407407405E-2</v>
      </c>
      <c r="G39" s="10">
        <f>IF(C39&gt;I38,C39,I38)</f>
        <v>0.43607638888888889</v>
      </c>
      <c r="H39" s="10">
        <v>1.5625000000000222E-3</v>
      </c>
      <c r="I39" s="10">
        <f t="shared" si="22"/>
        <v>0.43763888888888891</v>
      </c>
      <c r="J39" s="14" t="str">
        <f t="shared" si="2"/>
        <v/>
      </c>
      <c r="K39" s="14">
        <f t="shared" si="6"/>
        <v>4.3402777777777901E-3</v>
      </c>
      <c r="L39" s="9">
        <f t="shared" si="3"/>
        <v>1.0798611111111134E-2</v>
      </c>
      <c r="M39" s="9">
        <f t="shared" si="4"/>
        <v>0.43763888888888891</v>
      </c>
      <c r="N39" s="9">
        <v>1.6666666666666496E-3</v>
      </c>
      <c r="O39" s="9">
        <f t="shared" si="23"/>
        <v>0.43930555555555556</v>
      </c>
      <c r="P39" s="7" t="s">
        <v>17</v>
      </c>
      <c r="Q39" s="14"/>
      <c r="R39" s="48">
        <f t="shared" ref="R39:R43" si="25">O40-O39</f>
        <v>3.7384259259259367E-3</v>
      </c>
      <c r="S39" s="16">
        <f>T39-V36</f>
        <v>1.3217592592592642E-2</v>
      </c>
      <c r="T39" s="10">
        <f>O39</f>
        <v>0.43930555555555556</v>
      </c>
      <c r="U39" s="10">
        <v>7.766203703703704E-3</v>
      </c>
      <c r="V39" s="10">
        <f t="shared" si="15"/>
        <v>0.44707175925925924</v>
      </c>
      <c r="W39" s="17" t="s">
        <v>7</v>
      </c>
      <c r="X39" s="17"/>
      <c r="Y39" s="17"/>
      <c r="Z39" s="17"/>
      <c r="AA39" s="17"/>
      <c r="AB39" s="17"/>
      <c r="AC39" s="14"/>
      <c r="AD39" s="14">
        <f>AA40-V39</f>
        <v>4.0625000000000244E-3</v>
      </c>
      <c r="AE39" s="9">
        <f>AF39-AH33</f>
        <v>2.473379629629624E-2</v>
      </c>
      <c r="AF39" s="9">
        <f>V39</f>
        <v>0.44707175925925924</v>
      </c>
      <c r="AG39" s="9">
        <v>4.9189814814814548E-3</v>
      </c>
      <c r="AH39" s="9">
        <f>AF39+AG39</f>
        <v>0.45199074074074069</v>
      </c>
      <c r="AI39" s="22">
        <f t="shared" si="7"/>
        <v>0</v>
      </c>
      <c r="AJ39" s="33">
        <f t="shared" si="8"/>
        <v>1.5914351851851832E-2</v>
      </c>
      <c r="AK39" s="33">
        <f t="shared" si="5"/>
        <v>1.5914351851851832E-2</v>
      </c>
    </row>
    <row r="40" spans="2:37" ht="15.6" x14ac:dyDescent="0.3">
      <c r="B40" s="62">
        <v>27</v>
      </c>
      <c r="C40" s="9">
        <f t="shared" si="24"/>
        <v>0.44111111111111112</v>
      </c>
      <c r="D40" s="9">
        <v>3.2638888888888995E-3</v>
      </c>
      <c r="E40" s="14" t="str">
        <f>IF(G40&gt;C40,G40-C40,"")</f>
        <v/>
      </c>
      <c r="F40" s="10">
        <f>IF(G40&gt;I39,G40-I39,"")</f>
        <v>3.4722222222222099E-3</v>
      </c>
      <c r="G40" s="10">
        <f>IF(C40&gt;I39,C40,I39)</f>
        <v>0.44111111111111112</v>
      </c>
      <c r="H40" s="10">
        <v>8.6805555555558023E-4</v>
      </c>
      <c r="I40" s="10">
        <f t="shared" si="22"/>
        <v>0.4419791666666667</v>
      </c>
      <c r="J40" s="14" t="str">
        <f t="shared" si="2"/>
        <v/>
      </c>
      <c r="K40" s="14">
        <f t="shared" si="6"/>
        <v>3.0902777777777612E-3</v>
      </c>
      <c r="L40" s="9">
        <f t="shared" si="3"/>
        <v>2.6736111111111405E-3</v>
      </c>
      <c r="M40" s="9">
        <f t="shared" si="4"/>
        <v>0.4419791666666667</v>
      </c>
      <c r="N40" s="9">
        <v>1.0648148148147962E-3</v>
      </c>
      <c r="O40" s="9">
        <f t="shared" si="23"/>
        <v>0.4430439814814815</v>
      </c>
      <c r="P40" s="7" t="s">
        <v>17</v>
      </c>
      <c r="Q40" s="14"/>
      <c r="R40" s="48">
        <f t="shared" si="25"/>
        <v>4.1782407407407463E-3</v>
      </c>
      <c r="S40" s="16"/>
      <c r="T40" s="10"/>
      <c r="U40" s="10"/>
      <c r="V40" s="10"/>
      <c r="W40" s="17"/>
      <c r="X40" s="17">
        <f>Y40-AA38</f>
        <v>1.2939814814814821E-2</v>
      </c>
      <c r="Y40" s="17">
        <f>O40</f>
        <v>0.4430439814814815</v>
      </c>
      <c r="Z40" s="17">
        <v>8.0902777777777778E-3</v>
      </c>
      <c r="AA40" s="17">
        <f t="shared" si="13"/>
        <v>0.45113425925925926</v>
      </c>
      <c r="AB40" s="17" t="s">
        <v>7</v>
      </c>
      <c r="AC40" s="14">
        <f>AF40-AA40</f>
        <v>8.5648148148143033E-4</v>
      </c>
      <c r="AD40" s="14">
        <f>V41-AA40</f>
        <v>3.1712962962963109E-3</v>
      </c>
      <c r="AE40" s="9"/>
      <c r="AF40" s="9">
        <f>AH39</f>
        <v>0.45199074074074069</v>
      </c>
      <c r="AG40" s="9">
        <v>2.3495370370370371E-3</v>
      </c>
      <c r="AH40" s="9">
        <f>AF40+AG40</f>
        <v>0.45434027777777775</v>
      </c>
      <c r="AI40" s="22">
        <f t="shared" si="7"/>
        <v>8.5648148148143033E-4</v>
      </c>
      <c r="AJ40" s="33">
        <f t="shared" si="8"/>
        <v>1.2372685185185191E-2</v>
      </c>
      <c r="AK40" s="33">
        <f t="shared" si="5"/>
        <v>1.3229166666666622E-2</v>
      </c>
    </row>
    <row r="41" spans="2:37" ht="15.6" x14ac:dyDescent="0.3">
      <c r="B41" s="62">
        <v>28</v>
      </c>
      <c r="C41" s="9">
        <f t="shared" si="24"/>
        <v>0.44437500000000002</v>
      </c>
      <c r="D41" s="9">
        <v>2.5462962962963243E-4</v>
      </c>
      <c r="E41" s="14" t="str">
        <f>IF(G41&gt;C41,G41-C41,"")</f>
        <v/>
      </c>
      <c r="F41" s="10">
        <f>IF(G41&gt;I40,G41-I40,"")</f>
        <v>2.3958333333333193E-3</v>
      </c>
      <c r="G41" s="10">
        <f>IF(C41&gt;I40,C41,I40)</f>
        <v>0.44437500000000002</v>
      </c>
      <c r="H41" s="10">
        <v>6.9444444444444198E-4</v>
      </c>
      <c r="I41" s="10">
        <f t="shared" si="22"/>
        <v>0.44506944444444446</v>
      </c>
      <c r="J41" s="14" t="str">
        <f t="shared" si="2"/>
        <v/>
      </c>
      <c r="K41" s="14">
        <f t="shared" si="6"/>
        <v>8.5648148148148584E-4</v>
      </c>
      <c r="L41" s="9">
        <f t="shared" si="3"/>
        <v>2.025462962962965E-3</v>
      </c>
      <c r="M41" s="9">
        <f t="shared" si="4"/>
        <v>0.44506944444444446</v>
      </c>
      <c r="N41" s="9">
        <v>2.1527777777777812E-3</v>
      </c>
      <c r="O41" s="9">
        <f t="shared" si="23"/>
        <v>0.44722222222222224</v>
      </c>
      <c r="P41" s="7" t="s">
        <v>17</v>
      </c>
      <c r="Q41" s="14"/>
      <c r="R41" s="48">
        <f t="shared" si="25"/>
        <v>1.4583333333333393E-3</v>
      </c>
      <c r="S41" s="16">
        <f>T41-V39</f>
        <v>1.5046296296300499E-4</v>
      </c>
      <c r="T41" s="10">
        <f>O41</f>
        <v>0.44722222222222224</v>
      </c>
      <c r="U41" s="10">
        <v>7.083333333333333E-3</v>
      </c>
      <c r="V41" s="10">
        <f t="shared" si="15"/>
        <v>0.45430555555555557</v>
      </c>
      <c r="W41" s="17" t="s">
        <v>7</v>
      </c>
      <c r="X41" s="17"/>
      <c r="Y41" s="17"/>
      <c r="Z41" s="17"/>
      <c r="AA41" s="17"/>
      <c r="AB41" s="17"/>
      <c r="AC41" s="14">
        <f>AF41-V41</f>
        <v>3.4722222222172139E-5</v>
      </c>
      <c r="AD41" s="14">
        <f>AA42-V41</f>
        <v>1.8402777777777879E-3</v>
      </c>
      <c r="AE41" s="9"/>
      <c r="AF41" s="9">
        <f>AH40</f>
        <v>0.45434027777777775</v>
      </c>
      <c r="AG41" s="9">
        <v>4.5138888888888173E-3</v>
      </c>
      <c r="AH41" s="9">
        <f>AF41+AG41</f>
        <v>0.45885416666666656</v>
      </c>
      <c r="AI41" s="22">
        <f t="shared" si="7"/>
        <v>3.4722222222172139E-5</v>
      </c>
      <c r="AJ41" s="33">
        <f t="shared" si="8"/>
        <v>1.4444444444444374E-2</v>
      </c>
      <c r="AK41" s="33">
        <f t="shared" si="5"/>
        <v>1.4479166666666547E-2</v>
      </c>
    </row>
    <row r="42" spans="2:37" ht="15.6" x14ac:dyDescent="0.3">
      <c r="B42" s="62">
        <v>29</v>
      </c>
      <c r="C42" s="9">
        <f t="shared" si="24"/>
        <v>0.44462962962962965</v>
      </c>
      <c r="D42" s="9">
        <v>1.1689814814814792E-3</v>
      </c>
      <c r="E42" s="14">
        <f>IF(G42&gt;C42,G42-C42,"")</f>
        <v>4.3981481481480955E-4</v>
      </c>
      <c r="F42" s="10" t="str">
        <f>IF(G42&gt;I41,G42-I41,"")</f>
        <v/>
      </c>
      <c r="G42" s="10">
        <f>IF(C42&gt;I41,C42,I41)</f>
        <v>0.44506944444444446</v>
      </c>
      <c r="H42" s="10">
        <v>8.5648148148148584E-4</v>
      </c>
      <c r="I42" s="10">
        <f t="shared" si="22"/>
        <v>0.44592592592592595</v>
      </c>
      <c r="J42" s="14">
        <f t="shared" si="2"/>
        <v>1.2962962962962954E-3</v>
      </c>
      <c r="K42" s="14">
        <f t="shared" si="6"/>
        <v>1.2962962962962954E-3</v>
      </c>
      <c r="L42" s="9" t="str">
        <f t="shared" si="3"/>
        <v/>
      </c>
      <c r="M42" s="9">
        <f t="shared" si="4"/>
        <v>0.44722222222222224</v>
      </c>
      <c r="N42" s="9">
        <v>1.4583333333333393E-3</v>
      </c>
      <c r="O42" s="9">
        <f t="shared" si="23"/>
        <v>0.44868055555555558</v>
      </c>
      <c r="P42" s="7" t="s">
        <v>17</v>
      </c>
      <c r="Q42" s="14">
        <f>Y42-O42</f>
        <v>2.4537037037036802E-3</v>
      </c>
      <c r="R42" s="48">
        <f t="shared" si="25"/>
        <v>1.2152777777777457E-3</v>
      </c>
      <c r="S42" s="16"/>
      <c r="T42" s="10"/>
      <c r="U42" s="10"/>
      <c r="V42" s="10"/>
      <c r="W42" s="17"/>
      <c r="X42" s="17"/>
      <c r="Y42" s="17">
        <f>AA40</f>
        <v>0.45113425925925926</v>
      </c>
      <c r="Z42" s="17">
        <v>5.0115740740740737E-3</v>
      </c>
      <c r="AA42" s="17">
        <f t="shared" si="13"/>
        <v>0.45614583333333336</v>
      </c>
      <c r="AB42" s="17" t="s">
        <v>7</v>
      </c>
      <c r="AC42" s="14">
        <f>AF42-AA42</f>
        <v>2.7083333333332016E-3</v>
      </c>
      <c r="AD42" s="14">
        <f>V43-AA42</f>
        <v>3.7384259259259367E-3</v>
      </c>
      <c r="AE42" s="9"/>
      <c r="AF42" s="9">
        <f>AH41</f>
        <v>0.45885416666666656</v>
      </c>
      <c r="AG42" s="9">
        <v>3.2060185185185386E-3</v>
      </c>
      <c r="AH42" s="9">
        <f>AF42+AG42</f>
        <v>0.4620601851851851</v>
      </c>
      <c r="AI42" s="22">
        <f t="shared" si="7"/>
        <v>6.8981481481479867E-3</v>
      </c>
      <c r="AJ42" s="33">
        <f t="shared" si="8"/>
        <v>1.0532407407407438E-2</v>
      </c>
      <c r="AK42" s="33">
        <f t="shared" si="5"/>
        <v>1.7430555555555425E-2</v>
      </c>
    </row>
    <row r="43" spans="2:37" ht="15.6" x14ac:dyDescent="0.3">
      <c r="B43" s="62">
        <v>30</v>
      </c>
      <c r="C43" s="9">
        <f t="shared" si="24"/>
        <v>0.44579861111111113</v>
      </c>
      <c r="D43" s="9">
        <f>C44-C43</f>
        <v>1.2534722222222183E-2</v>
      </c>
      <c r="E43" s="14">
        <f t="shared" ref="E43:E51" si="26">IF(G43&gt;C43,G43-C43,"")</f>
        <v>1.2731481481481621E-4</v>
      </c>
      <c r="F43" s="10" t="str">
        <f t="shared" ref="F43:F51" si="27">IF(G43&gt;I42,G43-I42,"")</f>
        <v/>
      </c>
      <c r="G43" s="10">
        <f t="shared" ref="G43:G51" si="28">IF(C43&gt;I42,C43,I42)</f>
        <v>0.44592592592592595</v>
      </c>
      <c r="H43" s="10">
        <v>1.2962962962962954E-3</v>
      </c>
      <c r="I43" s="10">
        <f t="shared" si="22"/>
        <v>0.44722222222222224</v>
      </c>
      <c r="J43" s="14">
        <f t="shared" si="2"/>
        <v>1.4583333333333393E-3</v>
      </c>
      <c r="K43" s="14">
        <f t="shared" si="6"/>
        <v>1.2268518518518456E-2</v>
      </c>
      <c r="L43" s="9" t="str">
        <f t="shared" si="3"/>
        <v/>
      </c>
      <c r="M43" s="9">
        <f t="shared" si="4"/>
        <v>0.44868055555555558</v>
      </c>
      <c r="N43" s="9">
        <v>1.2152777777777457E-3</v>
      </c>
      <c r="O43" s="9">
        <f t="shared" si="23"/>
        <v>0.44989583333333333</v>
      </c>
      <c r="P43" s="7" t="s">
        <v>17</v>
      </c>
      <c r="Q43" s="14">
        <f>T43-O43</f>
        <v>4.4097222222222454E-3</v>
      </c>
      <c r="R43" s="48">
        <f t="shared" si="25"/>
        <v>1.1087962962962938E-2</v>
      </c>
      <c r="S43" s="16"/>
      <c r="T43" s="10">
        <f>V41</f>
        <v>0.45430555555555557</v>
      </c>
      <c r="U43" s="10">
        <v>5.5787037037037038E-3</v>
      </c>
      <c r="V43" s="10">
        <f t="shared" si="15"/>
        <v>0.4598842592592593</v>
      </c>
      <c r="W43" s="17" t="s">
        <v>7</v>
      </c>
      <c r="X43" s="17"/>
      <c r="Y43" s="17"/>
      <c r="Z43" s="17"/>
      <c r="AA43" s="17"/>
      <c r="AB43" s="17"/>
      <c r="AC43" s="14">
        <f>AF43-V43</f>
        <v>2.1759259259258035E-3</v>
      </c>
      <c r="AD43" s="14">
        <f>AA46-V43</f>
        <v>8.7384259259258301E-3</v>
      </c>
      <c r="AE43" s="9"/>
      <c r="AF43" s="9">
        <f>AH42</f>
        <v>0.4620601851851851</v>
      </c>
      <c r="AG43" s="9">
        <v>2.2685185185185031E-3</v>
      </c>
      <c r="AH43" s="9">
        <f>AF43+AG43</f>
        <v>0.4643287037037036</v>
      </c>
      <c r="AI43" s="22">
        <f t="shared" si="7"/>
        <v>8.1712962962962044E-3</v>
      </c>
      <c r="AJ43" s="33">
        <f t="shared" si="8"/>
        <v>1.0358796296296248E-2</v>
      </c>
      <c r="AK43" s="33">
        <f t="shared" si="5"/>
        <v>1.8530092592592452E-2</v>
      </c>
    </row>
    <row r="44" spans="2:37" ht="15.6" x14ac:dyDescent="0.3">
      <c r="B44" s="69">
        <v>31</v>
      </c>
      <c r="C44" s="9">
        <v>0.45833333333333331</v>
      </c>
      <c r="D44" s="9">
        <v>5.6712962962962576E-4</v>
      </c>
      <c r="E44" s="14" t="str">
        <f t="shared" si="26"/>
        <v/>
      </c>
      <c r="F44" s="10">
        <f t="shared" si="27"/>
        <v>1.1111111111111072E-2</v>
      </c>
      <c r="G44" s="10">
        <f t="shared" si="28"/>
        <v>0.45833333333333331</v>
      </c>
      <c r="H44" s="10">
        <v>1.1574074074073848E-3</v>
      </c>
      <c r="I44" s="10">
        <f>G44+H44</f>
        <v>0.4594907407407407</v>
      </c>
      <c r="J44" s="14" t="str">
        <f t="shared" si="2"/>
        <v/>
      </c>
      <c r="K44" s="14">
        <f t="shared" si="6"/>
        <v>1.782407407407427E-3</v>
      </c>
      <c r="L44" s="9">
        <f t="shared" si="3"/>
        <v>9.5949074074073715E-3</v>
      </c>
      <c r="M44" s="9">
        <f t="shared" si="4"/>
        <v>0.4594907407407407</v>
      </c>
      <c r="N44" s="9">
        <v>1.4930555555555669E-3</v>
      </c>
      <c r="O44" s="9">
        <f>M44+N44</f>
        <v>0.46098379629629627</v>
      </c>
      <c r="P44" s="7" t="s">
        <v>17</v>
      </c>
      <c r="Q44" s="14"/>
      <c r="R44" s="48">
        <f>O46-O44</f>
        <v>2.615740740740724E-3</v>
      </c>
      <c r="S44" s="16">
        <f>T44-V43</f>
        <v>1.0995370370369684E-3</v>
      </c>
      <c r="T44" s="10">
        <f>O44</f>
        <v>0.46098379629629627</v>
      </c>
      <c r="U44" s="10">
        <v>5.0000000000000001E-3</v>
      </c>
      <c r="V44" s="10">
        <f t="shared" si="15"/>
        <v>0.46598379629629627</v>
      </c>
      <c r="W44" s="17" t="s">
        <v>19</v>
      </c>
      <c r="X44" s="17"/>
      <c r="Y44" s="17"/>
      <c r="Z44" s="17"/>
      <c r="AA44" s="17"/>
      <c r="AB44" s="17"/>
      <c r="AC44" s="14"/>
      <c r="AD44" s="14"/>
      <c r="AE44" s="9"/>
      <c r="AF44" s="9"/>
      <c r="AG44" s="9"/>
      <c r="AH44" s="9"/>
      <c r="AI44" s="22">
        <f t="shared" si="7"/>
        <v>0</v>
      </c>
      <c r="AJ44" s="33">
        <f t="shared" si="8"/>
        <v>7.6504629629629518E-3</v>
      </c>
      <c r="AK44" s="33">
        <f t="shared" si="5"/>
        <v>7.6504629629629518E-3</v>
      </c>
    </row>
    <row r="45" spans="2:37" ht="15.6" x14ac:dyDescent="0.3">
      <c r="B45" s="69">
        <v>32</v>
      </c>
      <c r="C45" s="9">
        <f>C44+D44</f>
        <v>0.45890046296296294</v>
      </c>
      <c r="D45" s="9">
        <v>2.0717592592592315E-3</v>
      </c>
      <c r="E45" s="14">
        <f t="shared" si="26"/>
        <v>5.9027777777775903E-4</v>
      </c>
      <c r="F45" s="10" t="str">
        <f t="shared" si="27"/>
        <v/>
      </c>
      <c r="G45" s="10">
        <f t="shared" si="28"/>
        <v>0.4594907407407407</v>
      </c>
      <c r="H45" s="10">
        <v>1.782407407407427E-3</v>
      </c>
      <c r="I45" s="10">
        <f t="shared" ref="I45:I52" si="29">G45+H45</f>
        <v>0.46127314814814813</v>
      </c>
      <c r="J45" s="14" t="str">
        <f t="shared" si="2"/>
        <v/>
      </c>
      <c r="K45" s="14">
        <f t="shared" si="6"/>
        <v>9.9537037037034093E-4</v>
      </c>
      <c r="L45" s="9">
        <f t="shared" si="3"/>
        <v>2.8935185185186008E-4</v>
      </c>
      <c r="M45" s="9">
        <f t="shared" si="4"/>
        <v>0.46127314814814813</v>
      </c>
      <c r="N45" s="9">
        <v>1.4930555555555669E-3</v>
      </c>
      <c r="O45" s="9">
        <f t="shared" ref="O45:O53" si="30">M45+N45</f>
        <v>0.46276620370370369</v>
      </c>
      <c r="P45" s="7" t="s">
        <v>18</v>
      </c>
      <c r="Q45" s="14"/>
      <c r="R45" s="48"/>
      <c r="S45" s="16"/>
      <c r="T45" s="10"/>
      <c r="U45" s="10"/>
      <c r="V45" s="10"/>
      <c r="W45" s="17"/>
      <c r="X45" s="17"/>
      <c r="Y45" s="17"/>
      <c r="Z45" s="17"/>
      <c r="AA45" s="17"/>
      <c r="AB45" s="17"/>
      <c r="AC45" s="14"/>
      <c r="AD45" s="14"/>
      <c r="AE45" s="9" t="s">
        <v>20</v>
      </c>
      <c r="AF45" s="9"/>
      <c r="AG45" s="9"/>
      <c r="AH45" s="9"/>
      <c r="AI45" s="22">
        <f t="shared" si="7"/>
        <v>5.9027777777775903E-4</v>
      </c>
      <c r="AJ45" s="33">
        <f t="shared" si="8"/>
        <v>3.2754629629629939E-3</v>
      </c>
      <c r="AK45" s="33">
        <f t="shared" si="5"/>
        <v>3.8657407407407529E-3</v>
      </c>
    </row>
    <row r="46" spans="2:37" ht="15.6" x14ac:dyDescent="0.3">
      <c r="B46" s="69">
        <v>33</v>
      </c>
      <c r="C46" s="9">
        <f t="shared" ref="C46:C53" si="31">C45+D45</f>
        <v>0.46097222222222217</v>
      </c>
      <c r="D46" s="9">
        <v>0</v>
      </c>
      <c r="E46" s="14">
        <f t="shared" si="26"/>
        <v>3.0092592592595446E-4</v>
      </c>
      <c r="F46" s="10" t="str">
        <f t="shared" si="27"/>
        <v/>
      </c>
      <c r="G46" s="10">
        <f t="shared" si="28"/>
        <v>0.46127314814814813</v>
      </c>
      <c r="H46" s="10">
        <v>9.9537037037034093E-4</v>
      </c>
      <c r="I46" s="10">
        <f t="shared" si="29"/>
        <v>0.46226851851851847</v>
      </c>
      <c r="J46" s="14">
        <f t="shared" si="2"/>
        <v>4.9768518518522598E-4</v>
      </c>
      <c r="K46" s="14">
        <f t="shared" si="6"/>
        <v>6.9444444444449749E-4</v>
      </c>
      <c r="L46" s="9" t="str">
        <f t="shared" si="3"/>
        <v/>
      </c>
      <c r="M46" s="9">
        <f t="shared" si="4"/>
        <v>0.46276620370370369</v>
      </c>
      <c r="N46" s="9">
        <v>8.3333333333329707E-4</v>
      </c>
      <c r="O46" s="9">
        <f t="shared" si="30"/>
        <v>0.46359953703703699</v>
      </c>
      <c r="P46" s="7" t="s">
        <v>17</v>
      </c>
      <c r="Q46" s="14"/>
      <c r="R46" s="48">
        <f>O47-O46</f>
        <v>2.2569444444444642E-3</v>
      </c>
      <c r="S46" s="16"/>
      <c r="T46" s="10"/>
      <c r="U46" s="10"/>
      <c r="V46" s="10"/>
      <c r="W46" s="17"/>
      <c r="X46" s="17">
        <f>Y46-AA42</f>
        <v>7.4537037037036291E-3</v>
      </c>
      <c r="Y46" s="17">
        <f>O46</f>
        <v>0.46359953703703699</v>
      </c>
      <c r="Z46" s="17">
        <v>5.0231481481481481E-3</v>
      </c>
      <c r="AA46" s="17">
        <f t="shared" si="13"/>
        <v>0.46862268518518513</v>
      </c>
      <c r="AB46" s="17" t="s">
        <v>7</v>
      </c>
      <c r="AC46" s="14"/>
      <c r="AD46" s="14">
        <f>AA48-AA46</f>
        <v>4.0856481481481577E-3</v>
      </c>
      <c r="AE46" s="9">
        <f>AF46-AH43</f>
        <v>4.2939814814815236E-3</v>
      </c>
      <c r="AF46" s="9">
        <f>AA46</f>
        <v>0.46862268518518513</v>
      </c>
      <c r="AG46" s="9">
        <v>5.2777777777778256E-3</v>
      </c>
      <c r="AH46" s="9">
        <f>AF46+AG46</f>
        <v>0.47390046296296295</v>
      </c>
      <c r="AI46" s="22">
        <f t="shared" si="7"/>
        <v>7.9861111111118044E-4</v>
      </c>
      <c r="AJ46" s="33">
        <f t="shared" si="8"/>
        <v>1.2129629629629612E-2</v>
      </c>
      <c r="AK46" s="33">
        <f t="shared" si="5"/>
        <v>1.2928240740740792E-2</v>
      </c>
    </row>
    <row r="47" spans="2:37" ht="15.6" x14ac:dyDescent="0.3">
      <c r="B47" s="69">
        <v>34</v>
      </c>
      <c r="C47" s="9">
        <f t="shared" si="31"/>
        <v>0.46097222222222217</v>
      </c>
      <c r="D47" s="9">
        <v>3.5185185185185319E-3</v>
      </c>
      <c r="E47" s="14">
        <f>IF(G47&gt;C47,G47-C47,"")</f>
        <v>1.2962962962962954E-3</v>
      </c>
      <c r="F47" s="10" t="str">
        <f>IF(G47&gt;I46,G47-I46,"")</f>
        <v/>
      </c>
      <c r="G47" s="10">
        <f>IF(C47&gt;I46,C47,I46)</f>
        <v>0.46226851851851847</v>
      </c>
      <c r="H47" s="10">
        <v>6.9444444444449749E-4</v>
      </c>
      <c r="I47" s="10">
        <f t="shared" si="29"/>
        <v>0.46296296296296297</v>
      </c>
      <c r="J47" s="14">
        <f t="shared" si="2"/>
        <v>6.3657407407402555E-4</v>
      </c>
      <c r="K47" s="14">
        <f t="shared" si="6"/>
        <v>2.8124999999999956E-3</v>
      </c>
      <c r="L47" s="9" t="str">
        <f t="shared" si="3"/>
        <v/>
      </c>
      <c r="M47" s="9">
        <f t="shared" si="4"/>
        <v>0.46359953703703699</v>
      </c>
      <c r="N47" s="9">
        <v>2.2569444444444642E-3</v>
      </c>
      <c r="O47" s="9">
        <f t="shared" si="30"/>
        <v>0.46585648148148145</v>
      </c>
      <c r="P47" s="7" t="s">
        <v>17</v>
      </c>
      <c r="Q47" s="14">
        <f>T47-O47</f>
        <v>1.2731481481481621E-4</v>
      </c>
      <c r="R47" s="48">
        <f t="shared" ref="R47:R52" si="32">O48-O47</f>
        <v>1.9675925925926041E-3</v>
      </c>
      <c r="S47" s="16"/>
      <c r="T47" s="10">
        <f>V44</f>
        <v>0.46598379629629627</v>
      </c>
      <c r="U47" s="10">
        <v>3.425925925925926E-3</v>
      </c>
      <c r="V47" s="10">
        <f t="shared" si="15"/>
        <v>0.46940972222222221</v>
      </c>
      <c r="W47" s="17" t="s">
        <v>19</v>
      </c>
      <c r="X47" s="17"/>
      <c r="Y47" s="17"/>
      <c r="Z47" s="17"/>
      <c r="AA47" s="17"/>
      <c r="AB47" s="17"/>
      <c r="AC47" s="14"/>
      <c r="AD47" s="14"/>
      <c r="AE47" s="9"/>
      <c r="AF47" s="9"/>
      <c r="AG47" s="9"/>
      <c r="AH47" s="9"/>
      <c r="AI47" s="22">
        <f t="shared" si="7"/>
        <v>2.0601851851851372E-3</v>
      </c>
      <c r="AJ47" s="33">
        <f t="shared" si="8"/>
        <v>6.3773148148148877E-3</v>
      </c>
      <c r="AK47" s="33">
        <f t="shared" si="5"/>
        <v>8.4375000000000248E-3</v>
      </c>
    </row>
    <row r="48" spans="2:37" ht="15.6" x14ac:dyDescent="0.3">
      <c r="B48" s="69">
        <v>35</v>
      </c>
      <c r="C48" s="9">
        <f t="shared" si="31"/>
        <v>0.4644907407407407</v>
      </c>
      <c r="D48" s="9">
        <v>6.2268518518518515E-3</v>
      </c>
      <c r="E48" s="14" t="str">
        <f>IF(G48&gt;C48,G48-C48,"")</f>
        <v/>
      </c>
      <c r="F48" s="10">
        <f>IF(G48&gt;I47,G48-I47,"")</f>
        <v>1.527777777777739E-3</v>
      </c>
      <c r="G48" s="10">
        <f>IF(C48&gt;I47,C48,I47)</f>
        <v>0.4644907407407407</v>
      </c>
      <c r="H48" s="10">
        <v>1.2847222222222565E-3</v>
      </c>
      <c r="I48" s="10">
        <f t="shared" si="29"/>
        <v>0.46577546296296296</v>
      </c>
      <c r="J48" s="14">
        <f t="shared" si="2"/>
        <v>8.1018518518494176E-5</v>
      </c>
      <c r="K48" s="14">
        <f t="shared" si="6"/>
        <v>6.3194444444444331E-3</v>
      </c>
      <c r="L48" s="9" t="str">
        <f t="shared" si="3"/>
        <v/>
      </c>
      <c r="M48" s="9">
        <f t="shared" si="4"/>
        <v>0.46585648148148145</v>
      </c>
      <c r="N48" s="9">
        <v>1.9675925925926041E-3</v>
      </c>
      <c r="O48" s="9">
        <f t="shared" si="30"/>
        <v>0.46782407407407406</v>
      </c>
      <c r="P48" s="7" t="s">
        <v>17</v>
      </c>
      <c r="Q48" s="14">
        <f>Y48-O48</f>
        <v>7.9861111111106942E-4</v>
      </c>
      <c r="R48" s="48">
        <f t="shared" si="32"/>
        <v>6.2037037037037113E-3</v>
      </c>
      <c r="S48" s="16"/>
      <c r="T48" s="10"/>
      <c r="U48" s="10"/>
      <c r="V48" s="10"/>
      <c r="W48" s="17"/>
      <c r="X48" s="17"/>
      <c r="Y48" s="17">
        <f>AA46</f>
        <v>0.46862268518518513</v>
      </c>
      <c r="Z48" s="17">
        <v>4.0856481481481481E-3</v>
      </c>
      <c r="AA48" s="17">
        <f t="shared" si="13"/>
        <v>0.47270833333333329</v>
      </c>
      <c r="AB48" s="17" t="s">
        <v>7</v>
      </c>
      <c r="AC48" s="14">
        <f>AF48-AA48</f>
        <v>1.192129629629668E-3</v>
      </c>
      <c r="AD48" s="14">
        <f>V49-AA48</f>
        <v>5.5208333333333637E-3</v>
      </c>
      <c r="AE48" s="9"/>
      <c r="AF48" s="9">
        <f>AH46</f>
        <v>0.47390046296296295</v>
      </c>
      <c r="AG48" s="9">
        <v>1.5856481481481E-3</v>
      </c>
      <c r="AH48" s="9">
        <f t="shared" ref="AH48:AH53" si="33">AF48+AG48</f>
        <v>0.47548611111111105</v>
      </c>
      <c r="AI48" s="22">
        <f t="shared" si="7"/>
        <v>2.0717592592592315E-3</v>
      </c>
      <c r="AJ48" s="33">
        <f t="shared" si="8"/>
        <v>8.9236111111111079E-3</v>
      </c>
      <c r="AK48" s="33">
        <f t="shared" si="5"/>
        <v>1.0995370370370339E-2</v>
      </c>
    </row>
    <row r="49" spans="2:37" ht="15.6" x14ac:dyDescent="0.3">
      <c r="B49" s="69">
        <v>36</v>
      </c>
      <c r="C49" s="9">
        <f t="shared" si="31"/>
        <v>0.47071759259259255</v>
      </c>
      <c r="D49" s="9">
        <v>5.5787037037037246E-3</v>
      </c>
      <c r="E49" s="14" t="str">
        <f t="shared" si="26"/>
        <v/>
      </c>
      <c r="F49" s="10">
        <f t="shared" si="27"/>
        <v>4.942129629629588E-3</v>
      </c>
      <c r="G49" s="10">
        <f t="shared" si="28"/>
        <v>0.47071759259259255</v>
      </c>
      <c r="H49" s="10">
        <v>1.3773148148148451E-3</v>
      </c>
      <c r="I49" s="10">
        <f t="shared" si="29"/>
        <v>0.47209490740740739</v>
      </c>
      <c r="J49" s="14" t="str">
        <f t="shared" si="2"/>
        <v/>
      </c>
      <c r="K49" s="14">
        <f t="shared" si="6"/>
        <v>5.4976851851851749E-3</v>
      </c>
      <c r="L49" s="9">
        <f t="shared" si="3"/>
        <v>4.2708333333333348E-3</v>
      </c>
      <c r="M49" s="9">
        <f t="shared" si="4"/>
        <v>0.47209490740740739</v>
      </c>
      <c r="N49" s="9">
        <v>1.9328703703703765E-3</v>
      </c>
      <c r="O49" s="9">
        <f t="shared" si="30"/>
        <v>0.47402777777777777</v>
      </c>
      <c r="P49" s="7" t="s">
        <v>17</v>
      </c>
      <c r="Q49" s="14"/>
      <c r="R49" s="48">
        <f t="shared" si="32"/>
        <v>5.0694444444444042E-3</v>
      </c>
      <c r="S49" s="16">
        <f>T49-V47</f>
        <v>4.6180555555555558E-3</v>
      </c>
      <c r="T49" s="10">
        <f>O49</f>
        <v>0.47402777777777777</v>
      </c>
      <c r="U49" s="10">
        <v>4.2013888888888891E-3</v>
      </c>
      <c r="V49" s="10">
        <f t="shared" si="15"/>
        <v>0.47822916666666665</v>
      </c>
      <c r="W49" s="17" t="s">
        <v>7</v>
      </c>
      <c r="X49" s="17"/>
      <c r="Y49" s="17"/>
      <c r="Z49" s="17"/>
      <c r="AA49" s="17"/>
      <c r="AB49" s="17"/>
      <c r="AC49" s="14"/>
      <c r="AD49" s="14">
        <f>V50-V49</f>
        <v>4.9074074074073604E-3</v>
      </c>
      <c r="AE49" s="9">
        <f>AF49-AH48</f>
        <v>2.7430555555555958E-3</v>
      </c>
      <c r="AF49" s="9">
        <f>V49</f>
        <v>0.47822916666666665</v>
      </c>
      <c r="AG49" s="9">
        <v>6.6898148148147873E-3</v>
      </c>
      <c r="AH49" s="9">
        <f t="shared" si="33"/>
        <v>0.48491898148148144</v>
      </c>
      <c r="AI49" s="22">
        <f t="shared" si="7"/>
        <v>0</v>
      </c>
      <c r="AJ49" s="33">
        <f t="shared" si="8"/>
        <v>1.4201388888888899E-2</v>
      </c>
      <c r="AK49" s="33">
        <f t="shared" si="5"/>
        <v>1.4201388888888899E-2</v>
      </c>
    </row>
    <row r="50" spans="2:37" ht="15.6" x14ac:dyDescent="0.3">
      <c r="B50" s="69">
        <v>37</v>
      </c>
      <c r="C50" s="9">
        <f t="shared" si="31"/>
        <v>0.47629629629629627</v>
      </c>
      <c r="D50" s="9">
        <v>8.4490740740739145E-4</v>
      </c>
      <c r="E50" s="14" t="str">
        <f t="shared" si="26"/>
        <v/>
      </c>
      <c r="F50" s="10">
        <f t="shared" si="27"/>
        <v>4.2013888888888795E-3</v>
      </c>
      <c r="G50" s="10">
        <f t="shared" si="28"/>
        <v>0.47629629629629627</v>
      </c>
      <c r="H50" s="10">
        <v>1.2962962962962954E-3</v>
      </c>
      <c r="I50" s="10">
        <f t="shared" si="29"/>
        <v>0.47759259259259257</v>
      </c>
      <c r="J50" s="14" t="str">
        <f t="shared" si="2"/>
        <v/>
      </c>
      <c r="K50" s="14">
        <f t="shared" si="6"/>
        <v>6.5972222222221433E-4</v>
      </c>
      <c r="L50" s="9">
        <f t="shared" si="3"/>
        <v>3.5648148148147984E-3</v>
      </c>
      <c r="M50" s="9">
        <f t="shared" si="4"/>
        <v>0.47759259259259257</v>
      </c>
      <c r="N50" s="9">
        <v>1.5046296296296058E-3</v>
      </c>
      <c r="O50" s="9">
        <f t="shared" si="30"/>
        <v>0.47909722222222217</v>
      </c>
      <c r="P50" s="7" t="s">
        <v>17</v>
      </c>
      <c r="Q50" s="14"/>
      <c r="R50" s="48">
        <f t="shared" si="32"/>
        <v>2.3148148148148251E-3</v>
      </c>
      <c r="S50" s="16">
        <f>T50-V49</f>
        <v>8.6805555555552472E-4</v>
      </c>
      <c r="T50" s="10">
        <f>O50</f>
        <v>0.47909722222222217</v>
      </c>
      <c r="U50" s="10">
        <v>4.0393518518518521E-3</v>
      </c>
      <c r="V50" s="10">
        <f t="shared" si="15"/>
        <v>0.48313657407407401</v>
      </c>
      <c r="W50" s="17" t="s">
        <v>7</v>
      </c>
      <c r="X50" s="17"/>
      <c r="Y50" s="17"/>
      <c r="Z50" s="17"/>
      <c r="AA50" s="17"/>
      <c r="AB50" s="17"/>
      <c r="AC50" s="14">
        <f>IF(AH49&gt;V50,AH49-V50,"")</f>
        <v>1.782407407407427E-3</v>
      </c>
      <c r="AD50" s="14">
        <f>AA51-V50</f>
        <v>3.6805555555555758E-3</v>
      </c>
      <c r="AE50" s="9" t="s">
        <v>20</v>
      </c>
      <c r="AF50" s="9">
        <f>AH49</f>
        <v>0.48491898148148144</v>
      </c>
      <c r="AG50" s="9">
        <v>7.511574074074101E-3</v>
      </c>
      <c r="AH50" s="9">
        <f t="shared" si="33"/>
        <v>0.49243055555555554</v>
      </c>
      <c r="AI50" s="22">
        <f t="shared" si="7"/>
        <v>1.782407407407427E-3</v>
      </c>
      <c r="AJ50" s="33">
        <f t="shared" si="8"/>
        <v>1.4351851851851855E-2</v>
      </c>
      <c r="AK50" s="33">
        <f t="shared" si="5"/>
        <v>1.6134259259259282E-2</v>
      </c>
    </row>
    <row r="51" spans="2:37" ht="15.6" x14ac:dyDescent="0.3">
      <c r="B51" s="69">
        <v>38</v>
      </c>
      <c r="C51" s="9">
        <f t="shared" si="31"/>
        <v>0.47714120370370366</v>
      </c>
      <c r="D51" s="9">
        <v>8.0208333333333659E-3</v>
      </c>
      <c r="E51" s="14">
        <f t="shared" si="26"/>
        <v>4.5138888888890394E-4</v>
      </c>
      <c r="F51" s="10" t="str">
        <f t="shared" si="27"/>
        <v/>
      </c>
      <c r="G51" s="10">
        <f t="shared" si="28"/>
        <v>0.47759259259259257</v>
      </c>
      <c r="H51" s="10">
        <v>6.5972222222221433E-4</v>
      </c>
      <c r="I51" s="10">
        <f t="shared" si="29"/>
        <v>0.47825231481481478</v>
      </c>
      <c r="J51" s="14">
        <f t="shared" si="2"/>
        <v>8.4490740740739145E-4</v>
      </c>
      <c r="K51" s="14">
        <f t="shared" si="6"/>
        <v>7.6157407407407285E-3</v>
      </c>
      <c r="L51" s="9" t="str">
        <f t="shared" si="3"/>
        <v/>
      </c>
      <c r="M51" s="9">
        <f t="shared" si="4"/>
        <v>0.47909722222222217</v>
      </c>
      <c r="N51" s="9">
        <v>2.3148148148148251E-3</v>
      </c>
      <c r="O51" s="9">
        <f t="shared" si="30"/>
        <v>0.481412037037037</v>
      </c>
      <c r="P51" s="7" t="s">
        <v>17</v>
      </c>
      <c r="Q51" s="14"/>
      <c r="R51" s="48">
        <f t="shared" si="32"/>
        <v>6.4004629629629828E-3</v>
      </c>
      <c r="S51" s="16"/>
      <c r="T51" s="10"/>
      <c r="U51" s="10"/>
      <c r="V51" s="10"/>
      <c r="W51" s="17"/>
      <c r="X51" s="17">
        <f>Y51-AA48</f>
        <v>8.7037037037037135E-3</v>
      </c>
      <c r="Y51" s="17">
        <f>O51</f>
        <v>0.481412037037037</v>
      </c>
      <c r="Z51" s="17">
        <v>5.4050925925925924E-3</v>
      </c>
      <c r="AA51" s="17">
        <f t="shared" si="13"/>
        <v>0.48681712962962959</v>
      </c>
      <c r="AB51" s="17" t="s">
        <v>7</v>
      </c>
      <c r="AC51" s="14">
        <f>AF51-AA51</f>
        <v>5.6134259259259522E-3</v>
      </c>
      <c r="AD51" s="14">
        <f>V52-AA51</f>
        <v>6.6666666666667096E-3</v>
      </c>
      <c r="AE51" s="9" t="s">
        <v>20</v>
      </c>
      <c r="AF51" s="9">
        <f>AH50</f>
        <v>0.49243055555555554</v>
      </c>
      <c r="AG51" s="9">
        <v>4.1319444444444242E-3</v>
      </c>
      <c r="AH51" s="9">
        <f t="shared" si="33"/>
        <v>0.49656249999999996</v>
      </c>
      <c r="AI51" s="22">
        <f t="shared" si="7"/>
        <v>6.9097222222222476E-3</v>
      </c>
      <c r="AJ51" s="33">
        <f t="shared" si="8"/>
        <v>1.2511574074074057E-2</v>
      </c>
      <c r="AK51" s="33">
        <f t="shared" si="5"/>
        <v>1.9421296296296305E-2</v>
      </c>
    </row>
    <row r="52" spans="2:37" ht="15.6" x14ac:dyDescent="0.3">
      <c r="B52" s="69">
        <v>39</v>
      </c>
      <c r="C52" s="9">
        <f t="shared" si="31"/>
        <v>0.48516203703703703</v>
      </c>
      <c r="D52" s="9">
        <v>2.011574074074074E-2</v>
      </c>
      <c r="E52" s="14" t="str">
        <f>IF(G52&gt;C52,G52-C52,"")</f>
        <v/>
      </c>
      <c r="F52" s="10">
        <f>IF(G52&gt;I51,G52-I51,"")</f>
        <v>6.9097222222222476E-3</v>
      </c>
      <c r="G52" s="10">
        <f>IF(C52&gt;I51,C52,I51)</f>
        <v>0.48516203703703703</v>
      </c>
      <c r="H52" s="10">
        <v>7.0601851851848085E-4</v>
      </c>
      <c r="I52" s="10">
        <f t="shared" si="29"/>
        <v>0.48586805555555551</v>
      </c>
      <c r="J52" s="14" t="str">
        <f t="shared" si="2"/>
        <v/>
      </c>
      <c r="K52" s="14">
        <f>I53-I52</f>
        <v>2.0150462962962912E-2</v>
      </c>
      <c r="L52" s="9">
        <f t="shared" si="3"/>
        <v>4.4560185185185119E-3</v>
      </c>
      <c r="M52" s="9">
        <f t="shared" si="4"/>
        <v>0.48586805555555551</v>
      </c>
      <c r="N52" s="9">
        <v>1.9444444444444708E-3</v>
      </c>
      <c r="O52" s="9">
        <f t="shared" si="30"/>
        <v>0.48781249999999998</v>
      </c>
      <c r="P52" s="7" t="s">
        <v>17</v>
      </c>
      <c r="Q52" s="14"/>
      <c r="R52" s="48">
        <f t="shared" si="32"/>
        <v>1.9652777777777741E-2</v>
      </c>
      <c r="S52" s="16">
        <f>T52-V50</f>
        <v>4.6759259259259722E-3</v>
      </c>
      <c r="T52" s="10">
        <f>O52</f>
        <v>0.48781249999999998</v>
      </c>
      <c r="U52" s="10">
        <v>5.6712962962962967E-3</v>
      </c>
      <c r="V52" s="10">
        <f t="shared" si="15"/>
        <v>0.4934837962962963</v>
      </c>
      <c r="W52" s="17" t="s">
        <v>7</v>
      </c>
      <c r="X52" s="17"/>
      <c r="Y52" s="17"/>
      <c r="Z52" s="17"/>
      <c r="AA52" s="17"/>
      <c r="AB52" s="17"/>
      <c r="AC52" s="14">
        <f>IF(AH51&gt;V52,AH51-V52,"")</f>
        <v>3.0787037037036669E-3</v>
      </c>
      <c r="AD52" s="14">
        <f>V53-V52</f>
        <v>2.2037037037037022E-2</v>
      </c>
      <c r="AE52" s="9" t="s">
        <v>20</v>
      </c>
      <c r="AF52" s="9">
        <f>AH51</f>
        <v>0.49656249999999996</v>
      </c>
      <c r="AG52" s="9">
        <v>3.0787037037036669E-3</v>
      </c>
      <c r="AH52" s="9">
        <f t="shared" si="33"/>
        <v>0.49964120370370363</v>
      </c>
      <c r="AI52" s="22">
        <f t="shared" si="7"/>
        <v>3.0787037037036669E-3</v>
      </c>
      <c r="AJ52" s="33">
        <f t="shared" si="8"/>
        <v>1.1400462962962914E-2</v>
      </c>
      <c r="AK52" s="33">
        <f t="shared" si="5"/>
        <v>1.4479166666666581E-2</v>
      </c>
    </row>
    <row r="53" spans="2:37" ht="15.6" x14ac:dyDescent="0.3">
      <c r="B53" s="69">
        <v>40</v>
      </c>
      <c r="C53" s="9">
        <f t="shared" si="31"/>
        <v>0.50527777777777771</v>
      </c>
      <c r="D53" s="9"/>
      <c r="E53" s="14" t="str">
        <f>IF(G53&gt;C53,G53-C53,"")</f>
        <v/>
      </c>
      <c r="F53" s="10">
        <f>IF(G53&gt;I52,G53-I52,"")</f>
        <v>1.9409722222222203E-2</v>
      </c>
      <c r="G53" s="10">
        <f>IF(C53&gt;I52,C53,I52)</f>
        <v>0.50527777777777771</v>
      </c>
      <c r="H53" s="10">
        <v>7.407407407407085E-4</v>
      </c>
      <c r="I53" s="10">
        <f>(G53+H53)</f>
        <v>0.50601851851851842</v>
      </c>
      <c r="J53" s="14" t="str">
        <f t="shared" si="2"/>
        <v/>
      </c>
      <c r="K53" s="14"/>
      <c r="L53" s="9">
        <f t="shared" si="3"/>
        <v>1.8206018518518441E-2</v>
      </c>
      <c r="M53" s="9">
        <f t="shared" si="4"/>
        <v>0.50601851851851842</v>
      </c>
      <c r="N53" s="9">
        <v>1.4467592592593004E-3</v>
      </c>
      <c r="O53" s="9">
        <f t="shared" si="30"/>
        <v>0.50746527777777772</v>
      </c>
      <c r="P53" s="7" t="s">
        <v>17</v>
      </c>
      <c r="Q53" s="14"/>
      <c r="R53" s="14"/>
      <c r="S53" s="10">
        <f>T53-V52</f>
        <v>1.3981481481481428E-2</v>
      </c>
      <c r="T53" s="10">
        <f>O53</f>
        <v>0.50746527777777772</v>
      </c>
      <c r="U53" s="10">
        <v>8.0555555555555554E-3</v>
      </c>
      <c r="V53" s="10">
        <f t="shared" si="15"/>
        <v>0.51552083333333332</v>
      </c>
      <c r="W53" s="17" t="s">
        <v>7</v>
      </c>
      <c r="X53" s="17"/>
      <c r="Y53" s="17"/>
      <c r="Z53" s="17"/>
      <c r="AA53" s="17"/>
      <c r="AB53" s="17"/>
      <c r="AC53" s="14" t="str">
        <f>IF(AH52&gt;V53,AH52-V53,"")</f>
        <v/>
      </c>
      <c r="AD53" s="14"/>
      <c r="AE53" s="9">
        <f>AF53-AH52</f>
        <v>1.5879629629629688E-2</v>
      </c>
      <c r="AF53" s="9">
        <f>V53</f>
        <v>0.51552083333333332</v>
      </c>
      <c r="AG53" s="9">
        <v>3.3333333333334103E-3</v>
      </c>
      <c r="AH53" s="9">
        <f t="shared" si="33"/>
        <v>0.51885416666666673</v>
      </c>
      <c r="AI53" s="22">
        <f t="shared" si="7"/>
        <v>0</v>
      </c>
      <c r="AJ53" s="85">
        <f t="shared" si="8"/>
        <v>1.3576388888888975E-2</v>
      </c>
      <c r="AK53" s="85">
        <f t="shared" si="5"/>
        <v>1.3576388888888975E-2</v>
      </c>
    </row>
    <row r="54" spans="2:37" ht="15.6" x14ac:dyDescent="0.3">
      <c r="I54" s="2"/>
      <c r="J54" s="76"/>
      <c r="M54" s="2"/>
      <c r="Q54" s="2"/>
      <c r="S54" s="13"/>
      <c r="AC54" s="2"/>
      <c r="AI54" s="2"/>
      <c r="AJ54" s="86"/>
      <c r="AK54" s="87">
        <f>AVERAGE(AK14:AK53)</f>
        <v>1.2259548611111105E-2</v>
      </c>
    </row>
    <row r="55" spans="2:37" x14ac:dyDescent="0.3">
      <c r="B55" s="80" t="s">
        <v>115</v>
      </c>
      <c r="M55" s="2"/>
      <c r="O55" s="80" t="s">
        <v>138</v>
      </c>
    </row>
    <row r="56" spans="2:37" x14ac:dyDescent="0.3">
      <c r="B56" s="80"/>
      <c r="M56" s="2"/>
    </row>
    <row r="57" spans="2:37" x14ac:dyDescent="0.3">
      <c r="B57" s="193" t="s">
        <v>96</v>
      </c>
      <c r="C57" s="193"/>
      <c r="D57" s="193"/>
      <c r="E57" s="193"/>
      <c r="F57" s="193"/>
      <c r="G57" s="193"/>
      <c r="H57" s="193"/>
      <c r="I57" s="193"/>
      <c r="J57" s="193"/>
      <c r="K57" s="193"/>
      <c r="O57" s="93"/>
      <c r="P57" s="93"/>
      <c r="Q57" s="93"/>
      <c r="R57" s="93"/>
      <c r="S57" s="93"/>
    </row>
    <row r="58" spans="2:37" ht="15.6" x14ac:dyDescent="0.3">
      <c r="B58" s="99" t="s">
        <v>97</v>
      </c>
      <c r="C58" s="99"/>
      <c r="D58" s="99" t="s">
        <v>168</v>
      </c>
      <c r="E58" s="99" t="s">
        <v>169</v>
      </c>
      <c r="F58" s="99"/>
      <c r="G58" s="99" t="s">
        <v>170</v>
      </c>
      <c r="H58" s="99" t="s">
        <v>171</v>
      </c>
      <c r="I58" s="99" t="s">
        <v>166</v>
      </c>
      <c r="J58" s="99" t="s">
        <v>167</v>
      </c>
      <c r="K58" s="99" t="s">
        <v>107</v>
      </c>
      <c r="M58" s="2"/>
      <c r="O58" s="93"/>
      <c r="P58" s="93"/>
      <c r="Q58" s="93"/>
      <c r="R58" s="93"/>
      <c r="S58" s="93"/>
    </row>
    <row r="59" spans="2:37" x14ac:dyDescent="0.3">
      <c r="B59" s="99">
        <v>1</v>
      </c>
      <c r="C59" s="100">
        <f>AVERAGE(D14:D52)*1440</f>
        <v>6.3487179487179493</v>
      </c>
      <c r="D59" s="100">
        <f>_xlfn.STDEV.S(D14:D52)*1440</f>
        <v>9.0077130567042829</v>
      </c>
      <c r="E59" s="100">
        <f>D59/C59</f>
        <v>1.4188239467345194</v>
      </c>
      <c r="F59" s="100">
        <f>AVERAGE(H14:H53)*1440</f>
        <v>1.6062499999999995</v>
      </c>
      <c r="G59" s="100">
        <f>_xlfn.STDEV.S(H14:H53)*1440</f>
        <v>0.77491555922670419</v>
      </c>
      <c r="H59" s="100">
        <f>G59/F59</f>
        <v>0.48243770224230625</v>
      </c>
      <c r="I59" s="100">
        <f>1/C59</f>
        <v>0.15751211631663972</v>
      </c>
      <c r="J59" s="100">
        <f>I59/K59</f>
        <v>0.25300383683360245</v>
      </c>
      <c r="K59" s="100">
        <f>1/F59</f>
        <v>0.62256809338521424</v>
      </c>
      <c r="L59" s="83" t="s">
        <v>113</v>
      </c>
    </row>
    <row r="60" spans="2:37" x14ac:dyDescent="0.3">
      <c r="B60" s="99">
        <v>2</v>
      </c>
      <c r="C60" s="100">
        <f>AVERAGE(K14:K52)*1440</f>
        <v>6.2991452991452972</v>
      </c>
      <c r="D60" s="100">
        <f>_xlfn.STDEV.S(K14:K52)*1440</f>
        <v>8.6917778488775692</v>
      </c>
      <c r="E60" s="100">
        <f t="shared" ref="E60" si="34">D60/C60</f>
        <v>1.3798344753306322</v>
      </c>
      <c r="F60" s="100">
        <f>AVERAGE(N14:N53)*1440</f>
        <v>2.456250000000006</v>
      </c>
      <c r="G60" s="100">
        <f>_xlfn.STDEV.S(N14:N53)*1440</f>
        <v>1.0802862307998957</v>
      </c>
      <c r="H60" s="100">
        <f t="shared" ref="H60:H62" si="35">G60/F60</f>
        <v>0.43981118811191577</v>
      </c>
      <c r="I60" s="100">
        <f t="shared" ref="I60:I62" si="36">1/C60</f>
        <v>0.15875169606512896</v>
      </c>
      <c r="J60" s="100">
        <f>I60/K60</f>
        <v>0.389933853459974</v>
      </c>
      <c r="K60" s="100">
        <f t="shared" ref="K60:K62" si="37">1/F60</f>
        <v>0.40712468193384121</v>
      </c>
      <c r="L60" s="83" t="s">
        <v>113</v>
      </c>
    </row>
    <row r="61" spans="2:37" x14ac:dyDescent="0.3">
      <c r="B61" s="99">
        <v>3</v>
      </c>
      <c r="C61" s="100">
        <f>AVERAGE(R14:R52)*1440</f>
        <v>7.9511494252873529</v>
      </c>
      <c r="D61" s="100">
        <f>_xlfn.STDEV.S(R17:R52)*1440</f>
        <v>9.2491257963504712</v>
      </c>
      <c r="E61" s="100">
        <f>D61/C61</f>
        <v>1.1632438659667386</v>
      </c>
      <c r="F61" s="100">
        <f>AVERAGE(U14:U53,Z14:Z52)*1440</f>
        <v>9.0644444444444474</v>
      </c>
      <c r="G61" s="100">
        <f>_xlfn.STDEV.S(U17:U53,Z17:Z53)*1440</f>
        <v>4.4732018869405161</v>
      </c>
      <c r="H61" s="100">
        <f>G61/F61</f>
        <v>0.49348880831655589</v>
      </c>
      <c r="I61" s="100">
        <f t="shared" si="36"/>
        <v>0.12576797976147458</v>
      </c>
      <c r="J61" s="100">
        <f>I61/(2*K61)</f>
        <v>0.57000843271894996</v>
      </c>
      <c r="K61" s="100">
        <f t="shared" si="37"/>
        <v>0.11032115714635937</v>
      </c>
      <c r="L61" s="83" t="s">
        <v>114</v>
      </c>
    </row>
    <row r="62" spans="2:37" x14ac:dyDescent="0.3">
      <c r="B62" s="99">
        <v>4</v>
      </c>
      <c r="C62" s="100">
        <f>AVERAGE(AD23:AD52)*1440</f>
        <v>11.89411764705882</v>
      </c>
      <c r="D62" s="100">
        <f>_xlfn.STDEV.S(AD23:AD52)*1440</f>
        <v>11.240627177626923</v>
      </c>
      <c r="E62" s="100">
        <f>D62/C62</f>
        <v>0.9450576756659631</v>
      </c>
      <c r="F62" s="100">
        <f>AVERAGE(AG14:AG53)*1440</f>
        <v>5.6703703703703727</v>
      </c>
      <c r="G62" s="100">
        <f>_xlfn.STDEV.S(AG23:AG53)*1440</f>
        <v>2.672289143510008</v>
      </c>
      <c r="H62" s="100">
        <f t="shared" si="35"/>
        <v>0.4712724159031364</v>
      </c>
      <c r="I62" s="100">
        <f t="shared" si="36"/>
        <v>8.407517309594463E-2</v>
      </c>
      <c r="J62" s="100">
        <f>I62/K62</f>
        <v>0.47673737040700476</v>
      </c>
      <c r="K62" s="100">
        <f t="shared" si="37"/>
        <v>0.17635532331809267</v>
      </c>
      <c r="L62" s="83" t="s">
        <v>113</v>
      </c>
      <c r="O62" s="93"/>
      <c r="P62" s="93"/>
      <c r="Q62" s="93"/>
      <c r="R62" s="93"/>
      <c r="S62" s="93"/>
    </row>
    <row r="63" spans="2:37" x14ac:dyDescent="0.3">
      <c r="B63" s="1"/>
      <c r="C63" s="1"/>
      <c r="D63" s="1"/>
      <c r="E63" s="1"/>
      <c r="F63" s="1"/>
      <c r="G63" s="1"/>
      <c r="H63" s="1"/>
      <c r="I63" s="1"/>
      <c r="J63" s="1"/>
      <c r="K63" s="1"/>
      <c r="O63" s="93"/>
      <c r="P63" s="93"/>
      <c r="Q63" s="93"/>
      <c r="R63" s="93"/>
      <c r="S63" s="93"/>
    </row>
    <row r="64" spans="2:37" x14ac:dyDescent="0.3">
      <c r="B64" s="80" t="s">
        <v>116</v>
      </c>
      <c r="C64" s="1"/>
      <c r="D64" s="1"/>
      <c r="E64" s="1"/>
      <c r="F64" s="1"/>
      <c r="G64" s="1"/>
      <c r="H64" s="1"/>
      <c r="I64" s="1"/>
      <c r="J64" s="1"/>
      <c r="K64" s="1"/>
      <c r="O64" s="1"/>
    </row>
    <row r="65" spans="2:23" x14ac:dyDescent="0.3">
      <c r="O65" s="1"/>
    </row>
    <row r="66" spans="2:23" x14ac:dyDescent="0.3">
      <c r="B66" s="189" t="s">
        <v>108</v>
      </c>
      <c r="C66" s="189"/>
      <c r="D66" s="189"/>
      <c r="E66" s="189"/>
      <c r="F66" s="189"/>
      <c r="H66">
        <f>SQRT(2*(2+1))-1</f>
        <v>1.4494897427831779</v>
      </c>
      <c r="O66" s="1"/>
    </row>
    <row r="67" spans="2:23" x14ac:dyDescent="0.3">
      <c r="B67" s="189"/>
      <c r="C67" s="189"/>
      <c r="D67" s="189"/>
      <c r="E67" s="189"/>
      <c r="F67" s="189"/>
      <c r="G67" s="80"/>
      <c r="H67" s="80"/>
      <c r="O67" s="1"/>
    </row>
    <row r="68" spans="2:23" x14ac:dyDescent="0.3">
      <c r="B68" s="79" t="s">
        <v>97</v>
      </c>
      <c r="C68" s="79" t="s">
        <v>92</v>
      </c>
      <c r="D68" s="79" t="s">
        <v>93</v>
      </c>
      <c r="E68" s="79" t="s">
        <v>94</v>
      </c>
      <c r="F68" s="79" t="s">
        <v>95</v>
      </c>
      <c r="G68" s="79" t="s">
        <v>172</v>
      </c>
      <c r="H68" s="1"/>
      <c r="I68" s="1"/>
      <c r="J68" s="1"/>
      <c r="K68" s="1"/>
      <c r="O68" s="1"/>
    </row>
    <row r="69" spans="2:23" x14ac:dyDescent="0.3">
      <c r="B69" s="79">
        <v>1</v>
      </c>
      <c r="C69" s="49">
        <f>(J59/(1-J59))*((E59^2+H59^2)/2)*(1/K59)</f>
        <v>0.61089196729554274</v>
      </c>
      <c r="D69" s="49">
        <f>C69+(1/K59)</f>
        <v>2.2171419672955421</v>
      </c>
      <c r="E69" s="49">
        <f>I59*C69</f>
        <v>9.6222886609556399E-2</v>
      </c>
      <c r="F69" s="49">
        <f>D69*I59</f>
        <v>0.34922672344315886</v>
      </c>
      <c r="G69" s="102" t="s">
        <v>113</v>
      </c>
    </row>
    <row r="70" spans="2:23" x14ac:dyDescent="0.3">
      <c r="B70" s="79">
        <v>2</v>
      </c>
      <c r="C70" s="49">
        <f>(J60/(1-J60))*((E60^2+H60^2)/2)*(1/K60)</f>
        <v>1.646391447319832</v>
      </c>
      <c r="D70" s="49">
        <f>C70+(1/K60)</f>
        <v>4.1026414473198383</v>
      </c>
      <c r="E70" s="49">
        <f>I60*C70</f>
        <v>0.26136743464914575</v>
      </c>
      <c r="F70" s="49">
        <f>D70*I60</f>
        <v>0.65130128810911969</v>
      </c>
      <c r="G70" s="102" t="s">
        <v>113</v>
      </c>
    </row>
    <row r="71" spans="2:23" x14ac:dyDescent="0.3">
      <c r="B71" s="79">
        <v>3</v>
      </c>
      <c r="C71" s="49">
        <f>((E61^2+H61^2)/2)*((J61^((SQRT(2*(2+1)))-1)/(2*(1-J61)))*(1/K61))</f>
        <v>3.7255308684556465</v>
      </c>
      <c r="D71" s="49">
        <f>C71+(1/K61)</f>
        <v>12.789975312900093</v>
      </c>
      <c r="E71" s="49">
        <f>I61*C71</f>
        <v>0.46855249086467854</v>
      </c>
      <c r="F71" s="49">
        <f>D71*I61</f>
        <v>1.6085693563025785</v>
      </c>
      <c r="G71" s="102" t="s">
        <v>114</v>
      </c>
    </row>
    <row r="72" spans="2:23" x14ac:dyDescent="0.3">
      <c r="B72" s="79">
        <v>4</v>
      </c>
      <c r="C72" s="49">
        <f>(J62/(1-J62))*((E62^2+H62^2)/2)*(1/K62)</f>
        <v>2.8807529405197148</v>
      </c>
      <c r="D72" s="49">
        <f>C72+(1/K62)</f>
        <v>8.5511233108900875</v>
      </c>
      <c r="E72" s="49">
        <f>C72*I62</f>
        <v>0.24219980212084649</v>
      </c>
      <c r="F72" s="49">
        <f>D72*I62</f>
        <v>0.71893717252785128</v>
      </c>
      <c r="G72" s="102" t="s">
        <v>113</v>
      </c>
    </row>
    <row r="73" spans="2:23" x14ac:dyDescent="0.3">
      <c r="O73" s="80"/>
      <c r="P73" s="80"/>
      <c r="Q73" s="80"/>
      <c r="R73" s="80"/>
      <c r="S73" s="80"/>
      <c r="T73" s="80"/>
      <c r="U73" s="80"/>
      <c r="V73" s="80"/>
      <c r="W73" s="80"/>
    </row>
    <row r="74" spans="2:23" x14ac:dyDescent="0.3">
      <c r="B74" s="80" t="s">
        <v>129</v>
      </c>
      <c r="O74" s="80"/>
      <c r="P74" s="80"/>
      <c r="Q74" s="80"/>
      <c r="R74" s="80"/>
      <c r="S74" s="80"/>
      <c r="T74" s="80"/>
      <c r="U74" s="80"/>
      <c r="V74" s="80"/>
      <c r="W74" s="80"/>
    </row>
    <row r="75" spans="2:23" x14ac:dyDescent="0.3">
      <c r="O75" s="80"/>
      <c r="P75" s="80"/>
      <c r="Q75" s="80"/>
      <c r="R75" s="80"/>
      <c r="S75" s="80"/>
      <c r="T75" s="80"/>
      <c r="U75" s="80"/>
      <c r="V75" s="80"/>
      <c r="W75" s="80"/>
    </row>
    <row r="76" spans="2:23" x14ac:dyDescent="0.3">
      <c r="B76" s="188" t="s">
        <v>117</v>
      </c>
      <c r="C76" s="188"/>
      <c r="D76" s="188"/>
      <c r="E76" s="188"/>
      <c r="F76" s="188"/>
      <c r="G76" s="188"/>
      <c r="H76" s="188"/>
      <c r="I76" s="188"/>
      <c r="J76" s="188"/>
      <c r="O76" s="80"/>
      <c r="P76" s="80"/>
      <c r="Q76" s="80"/>
      <c r="R76" s="80"/>
      <c r="S76" s="80"/>
      <c r="T76" s="80"/>
      <c r="U76" s="80"/>
      <c r="V76" s="80"/>
      <c r="W76" s="80"/>
    </row>
    <row r="77" spans="2:23" x14ac:dyDescent="0.3">
      <c r="B77" s="187" t="s">
        <v>118</v>
      </c>
      <c r="C77" s="187"/>
      <c r="D77" s="90" t="s">
        <v>119</v>
      </c>
      <c r="E77" s="187" t="s">
        <v>120</v>
      </c>
      <c r="F77" s="187"/>
      <c r="G77" s="187"/>
      <c r="H77" s="187"/>
      <c r="I77" s="187"/>
      <c r="J77" s="187"/>
      <c r="O77" s="80"/>
      <c r="P77" s="80"/>
      <c r="Q77" s="80"/>
      <c r="R77" s="80"/>
      <c r="S77" s="80"/>
      <c r="T77" s="80"/>
      <c r="U77" s="80"/>
      <c r="V77" s="80"/>
      <c r="W77" s="80"/>
    </row>
    <row r="78" spans="2:23" x14ac:dyDescent="0.3">
      <c r="B78" s="185" t="s">
        <v>121</v>
      </c>
      <c r="C78" s="185"/>
      <c r="D78" s="185">
        <v>100</v>
      </c>
      <c r="E78" s="181" t="s">
        <v>125</v>
      </c>
      <c r="F78" s="186"/>
      <c r="G78" s="186"/>
      <c r="H78" s="186"/>
      <c r="I78" s="186"/>
      <c r="J78" s="186"/>
      <c r="O78" s="80"/>
      <c r="P78" s="80"/>
      <c r="Q78" s="80"/>
      <c r="R78" s="80"/>
      <c r="S78" s="80"/>
      <c r="T78" s="80"/>
      <c r="U78" s="80"/>
      <c r="V78" s="80"/>
      <c r="W78" s="80"/>
    </row>
    <row r="79" spans="2:23" x14ac:dyDescent="0.3">
      <c r="B79" s="185"/>
      <c r="C79" s="185"/>
      <c r="D79" s="185"/>
      <c r="E79" s="186"/>
      <c r="F79" s="186"/>
      <c r="G79" s="186"/>
      <c r="H79" s="186"/>
      <c r="I79" s="186"/>
      <c r="J79" s="186"/>
      <c r="O79" s="80"/>
      <c r="P79" s="80"/>
      <c r="Q79" s="80"/>
      <c r="R79" s="80"/>
      <c r="S79" s="80"/>
      <c r="T79" s="80"/>
      <c r="U79" s="80"/>
      <c r="V79" s="80"/>
      <c r="W79" s="80"/>
    </row>
    <row r="80" spans="2:23" x14ac:dyDescent="0.3">
      <c r="B80" s="185" t="s">
        <v>122</v>
      </c>
      <c r="C80" s="185"/>
      <c r="D80" s="185">
        <v>10</v>
      </c>
      <c r="E80" s="181" t="s">
        <v>126</v>
      </c>
      <c r="F80" s="186"/>
      <c r="G80" s="186"/>
      <c r="H80" s="186"/>
      <c r="I80" s="186"/>
      <c r="J80" s="186"/>
      <c r="O80" s="80"/>
      <c r="P80" s="80"/>
      <c r="Q80" s="80"/>
      <c r="R80" s="80"/>
      <c r="S80" s="80"/>
      <c r="T80" s="80"/>
      <c r="U80" s="80"/>
      <c r="V80" s="80"/>
      <c r="W80" s="80"/>
    </row>
    <row r="81" spans="2:23" x14ac:dyDescent="0.3">
      <c r="B81" s="185"/>
      <c r="C81" s="185"/>
      <c r="D81" s="185"/>
      <c r="E81" s="186"/>
      <c r="F81" s="186"/>
      <c r="G81" s="186"/>
      <c r="H81" s="186"/>
      <c r="I81" s="186"/>
      <c r="J81" s="186"/>
      <c r="O81" s="80"/>
      <c r="P81" s="80"/>
      <c r="Q81" s="80"/>
      <c r="R81" s="80"/>
      <c r="S81" s="80"/>
      <c r="T81" s="80"/>
      <c r="U81" s="80"/>
      <c r="V81" s="80"/>
      <c r="W81" s="80"/>
    </row>
    <row r="82" spans="2:23" x14ac:dyDescent="0.3">
      <c r="B82" s="185" t="s">
        <v>123</v>
      </c>
      <c r="C82" s="185"/>
      <c r="D82" s="185">
        <v>30</v>
      </c>
      <c r="E82" s="181" t="s">
        <v>127</v>
      </c>
      <c r="F82" s="186"/>
      <c r="G82" s="186"/>
      <c r="H82" s="186"/>
      <c r="I82" s="186"/>
      <c r="J82" s="186"/>
      <c r="O82" s="80"/>
      <c r="P82" s="80"/>
      <c r="Q82" s="80"/>
      <c r="R82" s="80"/>
      <c r="S82" s="80"/>
      <c r="T82" s="80"/>
      <c r="U82" s="80"/>
      <c r="V82" s="80"/>
      <c r="W82" s="80"/>
    </row>
    <row r="83" spans="2:23" x14ac:dyDescent="0.3">
      <c r="B83" s="185"/>
      <c r="C83" s="185"/>
      <c r="D83" s="185"/>
      <c r="E83" s="186"/>
      <c r="F83" s="186"/>
      <c r="G83" s="186"/>
      <c r="H83" s="186"/>
      <c r="I83" s="186"/>
      <c r="J83" s="186"/>
      <c r="O83" s="80"/>
      <c r="P83" s="80"/>
      <c r="Q83" s="80"/>
      <c r="R83" s="80"/>
      <c r="S83" s="80"/>
      <c r="T83" s="80"/>
      <c r="U83" s="80"/>
      <c r="V83" s="80"/>
      <c r="W83" s="80"/>
    </row>
    <row r="84" spans="2:23" x14ac:dyDescent="0.3">
      <c r="B84" s="185" t="s">
        <v>124</v>
      </c>
      <c r="C84" s="185"/>
      <c r="D84" s="185">
        <v>40</v>
      </c>
      <c r="E84" s="181" t="s">
        <v>128</v>
      </c>
      <c r="F84" s="186"/>
      <c r="G84" s="186"/>
      <c r="H84" s="186"/>
      <c r="I84" s="186"/>
      <c r="J84" s="186"/>
      <c r="O84" s="80"/>
      <c r="P84" s="80"/>
      <c r="Q84" s="80"/>
      <c r="R84" s="80"/>
      <c r="S84" s="80"/>
      <c r="T84" s="80"/>
      <c r="U84" s="80"/>
      <c r="V84" s="80"/>
      <c r="W84" s="80"/>
    </row>
    <row r="85" spans="2:23" x14ac:dyDescent="0.3">
      <c r="B85" s="185"/>
      <c r="C85" s="185"/>
      <c r="D85" s="185"/>
      <c r="E85" s="186"/>
      <c r="F85" s="186"/>
      <c r="G85" s="186"/>
      <c r="H85" s="186"/>
      <c r="I85" s="186"/>
      <c r="J85" s="186"/>
      <c r="O85" s="80"/>
      <c r="P85" s="80"/>
      <c r="Q85" s="80"/>
      <c r="R85" s="80"/>
      <c r="S85" s="80"/>
      <c r="T85" s="80"/>
      <c r="U85" s="80"/>
      <c r="V85" s="80"/>
      <c r="W85" s="80"/>
    </row>
    <row r="86" spans="2:23" x14ac:dyDescent="0.3">
      <c r="O86" s="80"/>
      <c r="P86" s="80"/>
      <c r="Q86" s="80"/>
      <c r="R86" s="80"/>
      <c r="S86" s="80"/>
      <c r="T86" s="80"/>
      <c r="U86" s="80"/>
      <c r="V86" s="80"/>
      <c r="W86" s="80"/>
    </row>
    <row r="87" spans="2:23" x14ac:dyDescent="0.3">
      <c r="O87" s="80"/>
      <c r="P87" s="80"/>
      <c r="Q87" s="80"/>
      <c r="R87" s="80"/>
      <c r="S87" s="80"/>
      <c r="T87" s="80"/>
      <c r="U87" s="80"/>
      <c r="V87" s="80"/>
      <c r="W87" s="80"/>
    </row>
  </sheetData>
  <mergeCells count="38">
    <mergeCell ref="B4:P4"/>
    <mergeCell ref="F11:AK11"/>
    <mergeCell ref="B12:B13"/>
    <mergeCell ref="C12:C13"/>
    <mergeCell ref="D12:D13"/>
    <mergeCell ref="E12:E13"/>
    <mergeCell ref="F12:I12"/>
    <mergeCell ref="J12:J13"/>
    <mergeCell ref="K12:K13"/>
    <mergeCell ref="L12:P12"/>
    <mergeCell ref="Q12:Q13"/>
    <mergeCell ref="AJ12:AJ13"/>
    <mergeCell ref="AK12:AK13"/>
    <mergeCell ref="AD12:AD13"/>
    <mergeCell ref="AE12:AH12"/>
    <mergeCell ref="AI12:AI13"/>
    <mergeCell ref="X12:AB12"/>
    <mergeCell ref="R12:R13"/>
    <mergeCell ref="S12:W12"/>
    <mergeCell ref="AC12:AC13"/>
    <mergeCell ref="B57:K57"/>
    <mergeCell ref="B77:C77"/>
    <mergeCell ref="E77:J77"/>
    <mergeCell ref="B76:J76"/>
    <mergeCell ref="B66:F67"/>
    <mergeCell ref="B5:P7"/>
    <mergeCell ref="B82:C83"/>
    <mergeCell ref="D82:D83"/>
    <mergeCell ref="E84:J85"/>
    <mergeCell ref="B84:C85"/>
    <mergeCell ref="D84:D85"/>
    <mergeCell ref="E82:J83"/>
    <mergeCell ref="B78:C79"/>
    <mergeCell ref="D78:D79"/>
    <mergeCell ref="E80:J81"/>
    <mergeCell ref="B80:C81"/>
    <mergeCell ref="D80:D81"/>
    <mergeCell ref="E78:J79"/>
  </mergeCells>
  <dataValidations count="3">
    <dataValidation type="list" allowBlank="1" showInputMessage="1" showErrorMessage="1" sqref="P49 P14" xr:uid="{A3F436F0-9019-42BB-AF15-BDAEC46B0EF9}">
      <formula1>$B$57:$B$58</formula1>
    </dataValidation>
    <dataValidation type="list" allowBlank="1" showInputMessage="1" showErrorMessage="1" sqref="AB26 AB51 AB48 AB46 AB42 AB40 AB38 AB33 AB28:AB29 W14:W53 AB22:AB23" xr:uid="{5D46AAFD-015E-4CB9-8A2B-5C0EFD3875FF}">
      <formula1>$D$60:$D$61</formula1>
    </dataValidation>
    <dataValidation type="list" allowBlank="1" showInputMessage="1" showErrorMessage="1" sqref="P14:P48 P50:P53" xr:uid="{A8D175EC-4ECB-4925-B617-D4425A77C90E}">
      <formula1>$B$60:$B$61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1F3E-9DB1-4B7A-9397-D545A8B6A15D}">
  <dimension ref="B1:V43"/>
  <sheetViews>
    <sheetView showGridLines="0" topLeftCell="A4" zoomScale="59" workbookViewId="0">
      <selection activeCell="K13" sqref="K13:L13"/>
    </sheetView>
  </sheetViews>
  <sheetFormatPr defaultRowHeight="14.4" x14ac:dyDescent="0.3"/>
  <cols>
    <col min="4" max="4" width="14.44140625" customWidth="1"/>
    <col min="12" max="12" width="25.88671875" customWidth="1"/>
    <col min="14" max="14" width="10.44140625" customWidth="1"/>
    <col min="15" max="15" width="14" customWidth="1"/>
    <col min="18" max="18" width="21.21875" customWidth="1"/>
    <col min="21" max="21" width="20.6640625" customWidth="1"/>
  </cols>
  <sheetData>
    <row r="1" spans="2:22" ht="14.4" customHeight="1" x14ac:dyDescent="0.3">
      <c r="I1" s="120" t="s">
        <v>68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</row>
    <row r="2" spans="2:22" ht="15.6" customHeight="1" x14ac:dyDescent="0.3">
      <c r="B2" s="117" t="s">
        <v>11</v>
      </c>
      <c r="C2" s="117"/>
      <c r="D2" s="117"/>
      <c r="E2" s="117"/>
      <c r="F2" s="117"/>
      <c r="G2" s="117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spans="2:22" ht="15.6" customHeight="1" x14ac:dyDescent="0.3">
      <c r="B3" s="117" t="s">
        <v>12</v>
      </c>
      <c r="C3" s="117"/>
      <c r="D3" s="117"/>
      <c r="E3" s="117"/>
      <c r="F3" s="117"/>
      <c r="G3" s="117"/>
    </row>
    <row r="5" spans="2:22" ht="16.8" x14ac:dyDescent="0.3">
      <c r="B5" s="118" t="s">
        <v>31</v>
      </c>
      <c r="C5" s="118"/>
      <c r="D5" s="118"/>
      <c r="E5" s="118"/>
      <c r="F5" s="118"/>
      <c r="G5" s="118"/>
      <c r="H5" s="118"/>
      <c r="I5" s="118"/>
      <c r="K5" s="110" t="s">
        <v>43</v>
      </c>
      <c r="L5" s="110"/>
      <c r="M5" s="110"/>
      <c r="N5" s="110"/>
      <c r="O5" s="110"/>
      <c r="Q5" s="110" t="s">
        <v>43</v>
      </c>
      <c r="R5" s="110"/>
      <c r="S5" s="110"/>
      <c r="T5" s="110"/>
      <c r="U5" s="110"/>
    </row>
    <row r="6" spans="2:22" ht="15.6" x14ac:dyDescent="0.3">
      <c r="B6" s="119" t="s">
        <v>27</v>
      </c>
      <c r="C6" s="119"/>
      <c r="D6" s="119"/>
      <c r="E6" s="31" t="s">
        <v>22</v>
      </c>
      <c r="F6" s="32" t="s">
        <v>23</v>
      </c>
      <c r="G6" s="32" t="s">
        <v>24</v>
      </c>
      <c r="H6" s="32" t="s">
        <v>25</v>
      </c>
      <c r="I6" s="32" t="s">
        <v>26</v>
      </c>
      <c r="K6" s="109" t="s">
        <v>67</v>
      </c>
      <c r="L6" s="109"/>
      <c r="M6" s="109"/>
      <c r="N6" s="109"/>
      <c r="O6" s="109"/>
      <c r="Q6" s="109" t="s">
        <v>67</v>
      </c>
      <c r="R6" s="109"/>
      <c r="S6" s="109"/>
      <c r="T6" s="109"/>
      <c r="U6" s="109"/>
    </row>
    <row r="7" spans="2:22" x14ac:dyDescent="0.3">
      <c r="B7" s="113" t="s">
        <v>21</v>
      </c>
      <c r="C7" s="113"/>
      <c r="D7" s="113"/>
      <c r="E7" s="26">
        <v>40</v>
      </c>
      <c r="F7" s="24"/>
      <c r="G7" s="25"/>
      <c r="H7" s="25"/>
      <c r="I7" s="25"/>
      <c r="K7" s="111" t="s">
        <v>46</v>
      </c>
      <c r="L7" s="111"/>
      <c r="M7" s="111" t="s">
        <v>58</v>
      </c>
      <c r="N7" s="111"/>
      <c r="O7" s="111"/>
      <c r="Q7" s="111" t="s">
        <v>46</v>
      </c>
      <c r="R7" s="111"/>
      <c r="S7" s="111" t="s">
        <v>58</v>
      </c>
      <c r="T7" s="111"/>
      <c r="U7" s="111"/>
    </row>
    <row r="8" spans="2:22" x14ac:dyDescent="0.3">
      <c r="B8" s="113" t="s">
        <v>28</v>
      </c>
      <c r="C8" s="113"/>
      <c r="D8" s="113"/>
      <c r="E8" s="23"/>
      <c r="F8" s="27">
        <v>40</v>
      </c>
      <c r="G8" s="27">
        <v>40</v>
      </c>
      <c r="H8" s="27">
        <v>30</v>
      </c>
      <c r="I8" s="27">
        <v>18</v>
      </c>
      <c r="K8" s="108" t="s">
        <v>50</v>
      </c>
      <c r="L8" s="108"/>
      <c r="M8" s="108">
        <v>10</v>
      </c>
      <c r="N8" s="108"/>
      <c r="O8" s="108"/>
      <c r="Q8" s="108" t="s">
        <v>50</v>
      </c>
      <c r="R8" s="108"/>
      <c r="S8" s="108">
        <v>11</v>
      </c>
      <c r="T8" s="108"/>
      <c r="U8" s="108"/>
    </row>
    <row r="9" spans="2:22" x14ac:dyDescent="0.3">
      <c r="B9" s="112" t="s">
        <v>30</v>
      </c>
      <c r="C9" s="113"/>
      <c r="D9" s="113"/>
      <c r="E9" s="115"/>
      <c r="F9" s="116">
        <v>0</v>
      </c>
      <c r="G9" s="116">
        <v>10</v>
      </c>
      <c r="H9" s="116">
        <v>12</v>
      </c>
      <c r="I9" s="116">
        <v>18</v>
      </c>
      <c r="K9" s="108" t="s">
        <v>51</v>
      </c>
      <c r="L9" s="108"/>
      <c r="M9" s="108">
        <v>8</v>
      </c>
      <c r="N9" s="108"/>
      <c r="O9" s="108"/>
      <c r="Q9" s="108" t="s">
        <v>51</v>
      </c>
      <c r="R9" s="108"/>
      <c r="S9" s="108">
        <v>6</v>
      </c>
      <c r="T9" s="108"/>
      <c r="U9" s="108"/>
    </row>
    <row r="10" spans="2:22" x14ac:dyDescent="0.3">
      <c r="B10" s="113"/>
      <c r="C10" s="113"/>
      <c r="D10" s="113"/>
      <c r="E10" s="115"/>
      <c r="F10" s="116"/>
      <c r="G10" s="116"/>
      <c r="H10" s="116"/>
      <c r="I10" s="116"/>
      <c r="K10" s="108" t="s">
        <v>47</v>
      </c>
      <c r="L10" s="108"/>
      <c r="M10" s="108">
        <v>7</v>
      </c>
      <c r="N10" s="108"/>
      <c r="O10" s="108"/>
      <c r="Q10" s="108" t="s">
        <v>47</v>
      </c>
      <c r="R10" s="108"/>
      <c r="S10" s="108">
        <v>5</v>
      </c>
      <c r="T10" s="108"/>
      <c r="U10" s="108"/>
    </row>
    <row r="11" spans="2:22" x14ac:dyDescent="0.3">
      <c r="B11" s="112" t="s">
        <v>29</v>
      </c>
      <c r="C11" s="113"/>
      <c r="D11" s="113"/>
      <c r="E11" s="115"/>
      <c r="F11" s="116">
        <v>21</v>
      </c>
      <c r="G11" s="116">
        <v>24</v>
      </c>
      <c r="H11" s="116">
        <v>30</v>
      </c>
      <c r="I11" s="116">
        <v>4</v>
      </c>
      <c r="K11" s="108" t="s">
        <v>48</v>
      </c>
      <c r="L11" s="108"/>
      <c r="M11" s="108">
        <v>10</v>
      </c>
      <c r="N11" s="108"/>
      <c r="O11" s="108"/>
      <c r="Q11" s="108" t="s">
        <v>48</v>
      </c>
      <c r="R11" s="108"/>
      <c r="S11" s="108">
        <v>10</v>
      </c>
      <c r="T11" s="108"/>
      <c r="U11" s="108"/>
    </row>
    <row r="12" spans="2:22" x14ac:dyDescent="0.3">
      <c r="B12" s="113"/>
      <c r="C12" s="113"/>
      <c r="D12" s="113"/>
      <c r="E12" s="115"/>
      <c r="F12" s="116"/>
      <c r="G12" s="116"/>
      <c r="H12" s="116"/>
      <c r="I12" s="116"/>
      <c r="K12" s="108" t="s">
        <v>49</v>
      </c>
      <c r="L12" s="108"/>
      <c r="M12" s="108">
        <v>4</v>
      </c>
      <c r="N12" s="108"/>
      <c r="O12" s="108"/>
      <c r="Q12" s="108" t="s">
        <v>49</v>
      </c>
      <c r="R12" s="108"/>
      <c r="S12" s="108">
        <v>3</v>
      </c>
      <c r="T12" s="108"/>
      <c r="U12" s="108"/>
    </row>
    <row r="13" spans="2:22" x14ac:dyDescent="0.3">
      <c r="K13" s="108" t="s">
        <v>52</v>
      </c>
      <c r="L13" s="108"/>
      <c r="M13" s="108">
        <v>0</v>
      </c>
      <c r="N13" s="108"/>
      <c r="O13" s="108"/>
      <c r="Q13" s="108" t="s">
        <v>52</v>
      </c>
      <c r="R13" s="108"/>
      <c r="S13" s="108">
        <v>0</v>
      </c>
      <c r="T13" s="108"/>
      <c r="U13" s="108"/>
    </row>
    <row r="14" spans="2:22" ht="16.8" x14ac:dyDescent="0.3">
      <c r="B14" s="121" t="s">
        <v>42</v>
      </c>
      <c r="C14" s="121"/>
      <c r="D14" s="121"/>
      <c r="E14" s="121"/>
      <c r="F14" s="121"/>
      <c r="G14" s="121"/>
      <c r="H14" s="121"/>
      <c r="I14" s="121"/>
      <c r="K14" s="108" t="s">
        <v>53</v>
      </c>
      <c r="L14" s="108"/>
      <c r="M14" s="108">
        <v>0</v>
      </c>
      <c r="N14" s="108"/>
      <c r="O14" s="108"/>
      <c r="Q14" s="108" t="s">
        <v>53</v>
      </c>
      <c r="R14" s="108"/>
      <c r="S14" s="108">
        <v>0</v>
      </c>
      <c r="T14" s="108"/>
      <c r="U14" s="108"/>
    </row>
    <row r="15" spans="2:22" x14ac:dyDescent="0.3">
      <c r="B15" s="126" t="s">
        <v>59</v>
      </c>
      <c r="C15" s="126"/>
      <c r="D15" s="126"/>
      <c r="E15" s="126"/>
      <c r="F15" s="126"/>
      <c r="G15" s="126"/>
      <c r="H15" s="126"/>
      <c r="I15" s="126"/>
      <c r="K15" s="108" t="s">
        <v>54</v>
      </c>
      <c r="L15" s="108"/>
      <c r="M15" s="108">
        <v>0</v>
      </c>
      <c r="N15" s="108"/>
      <c r="O15" s="108"/>
      <c r="Q15" s="108" t="s">
        <v>54</v>
      </c>
      <c r="R15" s="108"/>
      <c r="S15" s="108">
        <v>0</v>
      </c>
      <c r="T15" s="108"/>
      <c r="U15" s="108"/>
    </row>
    <row r="16" spans="2:22" x14ac:dyDescent="0.3">
      <c r="B16" s="127" t="s">
        <v>27</v>
      </c>
      <c r="C16" s="127"/>
      <c r="D16" s="127"/>
      <c r="E16" s="30" t="s">
        <v>22</v>
      </c>
      <c r="F16" s="30" t="s">
        <v>23</v>
      </c>
      <c r="G16" s="30" t="s">
        <v>24</v>
      </c>
      <c r="H16" s="30" t="s">
        <v>25</v>
      </c>
      <c r="I16" s="30" t="s">
        <v>26</v>
      </c>
      <c r="K16" s="108" t="s">
        <v>55</v>
      </c>
      <c r="L16" s="108"/>
      <c r="M16" s="108">
        <v>0</v>
      </c>
      <c r="N16" s="108"/>
      <c r="O16" s="108"/>
      <c r="Q16" s="108" t="s">
        <v>55</v>
      </c>
      <c r="R16" s="108"/>
      <c r="S16" s="108">
        <v>0</v>
      </c>
      <c r="T16" s="108"/>
      <c r="U16" s="108"/>
    </row>
    <row r="17" spans="2:21" ht="14.4" customHeight="1" x14ac:dyDescent="0.3">
      <c r="B17" s="122" t="s">
        <v>33</v>
      </c>
      <c r="C17" s="122"/>
      <c r="D17" s="122"/>
      <c r="E17" s="28"/>
      <c r="F17" s="140"/>
      <c r="G17" s="141"/>
      <c r="H17" s="141"/>
      <c r="I17" s="141"/>
      <c r="K17" s="108" t="s">
        <v>56</v>
      </c>
      <c r="L17" s="108"/>
      <c r="M17" s="108">
        <v>0</v>
      </c>
      <c r="N17" s="108"/>
      <c r="O17" s="108"/>
      <c r="Q17" s="108" t="s">
        <v>56</v>
      </c>
      <c r="R17" s="108"/>
      <c r="S17" s="108">
        <v>0</v>
      </c>
      <c r="T17" s="108"/>
      <c r="U17" s="108"/>
    </row>
    <row r="18" spans="2:21" x14ac:dyDescent="0.3">
      <c r="B18" s="122" t="s">
        <v>32</v>
      </c>
      <c r="C18" s="122"/>
      <c r="D18" s="123"/>
      <c r="E18" s="124"/>
      <c r="F18" s="139">
        <v>6.5972222222222224E-4</v>
      </c>
      <c r="G18" s="114">
        <v>1.5625000000000001E-3</v>
      </c>
      <c r="H18" s="114">
        <v>5.5208333333333331E-2</v>
      </c>
      <c r="I18" s="114">
        <v>3.5416666666666665E-3</v>
      </c>
      <c r="K18" s="108" t="s">
        <v>57</v>
      </c>
      <c r="L18" s="108"/>
      <c r="M18" s="108">
        <v>0</v>
      </c>
      <c r="N18" s="108"/>
      <c r="O18" s="108"/>
      <c r="Q18" s="108" t="s">
        <v>57</v>
      </c>
      <c r="R18" s="108"/>
      <c r="S18" s="108">
        <v>0</v>
      </c>
      <c r="T18" s="108"/>
      <c r="U18" s="108"/>
    </row>
    <row r="19" spans="2:21" ht="14.4" customHeight="1" x14ac:dyDescent="0.3">
      <c r="B19" s="122"/>
      <c r="C19" s="122"/>
      <c r="D19" s="123"/>
      <c r="E19" s="125"/>
      <c r="F19" s="139"/>
      <c r="G19" s="114"/>
      <c r="H19" s="114"/>
      <c r="I19" s="114"/>
      <c r="K19" s="109" t="s">
        <v>62</v>
      </c>
      <c r="L19" s="109"/>
      <c r="M19" s="109"/>
      <c r="N19" s="109"/>
      <c r="O19" s="109"/>
      <c r="Q19" s="109" t="s">
        <v>62</v>
      </c>
      <c r="R19" s="109"/>
      <c r="S19" s="109"/>
      <c r="T19" s="109"/>
      <c r="U19" s="109"/>
    </row>
    <row r="20" spans="2:21" ht="14.4" customHeight="1" x14ac:dyDescent="0.3">
      <c r="B20" s="122" t="s">
        <v>64</v>
      </c>
      <c r="C20" s="122"/>
      <c r="D20" s="123"/>
      <c r="E20" s="125"/>
      <c r="F20" s="139">
        <v>2.1064814814814813E-3</v>
      </c>
      <c r="G20" s="132">
        <v>3.5648148148148149E-3</v>
      </c>
      <c r="H20" s="132">
        <v>8.50462962962963E-2</v>
      </c>
      <c r="I20" s="114">
        <v>4.7569444444444447E-3</v>
      </c>
      <c r="K20" s="108" t="s">
        <v>50</v>
      </c>
      <c r="L20" s="108"/>
      <c r="M20" s="108">
        <v>10</v>
      </c>
      <c r="N20" s="108"/>
      <c r="O20" s="108"/>
      <c r="Q20" s="108" t="s">
        <v>50</v>
      </c>
      <c r="R20" s="108"/>
      <c r="S20" s="108">
        <v>11</v>
      </c>
      <c r="T20" s="108"/>
      <c r="U20" s="108"/>
    </row>
    <row r="21" spans="2:21" x14ac:dyDescent="0.3">
      <c r="B21" s="122"/>
      <c r="C21" s="122"/>
      <c r="D21" s="123"/>
      <c r="E21" s="125"/>
      <c r="F21" s="139"/>
      <c r="G21" s="133"/>
      <c r="H21" s="133"/>
      <c r="I21" s="114"/>
      <c r="K21" s="108" t="s">
        <v>48</v>
      </c>
      <c r="L21" s="108"/>
      <c r="M21" s="108">
        <v>10</v>
      </c>
      <c r="N21" s="108"/>
      <c r="O21" s="108"/>
      <c r="Q21" s="108" t="s">
        <v>48</v>
      </c>
      <c r="R21" s="108"/>
      <c r="S21" s="108">
        <v>10</v>
      </c>
      <c r="T21" s="108"/>
      <c r="U21" s="108"/>
    </row>
    <row r="22" spans="2:21" x14ac:dyDescent="0.3">
      <c r="B22" s="122" t="s">
        <v>34</v>
      </c>
      <c r="C22" s="122"/>
      <c r="D22" s="123"/>
      <c r="E22" s="125"/>
      <c r="F22" s="139">
        <v>9.2592592592592588E-5</v>
      </c>
      <c r="G22" s="114">
        <v>2.3148148148148147E-5</v>
      </c>
      <c r="H22" s="132">
        <v>2.2569444444444442E-3</v>
      </c>
      <c r="I22" s="114">
        <v>2.650462962962963E-3</v>
      </c>
    </row>
    <row r="23" spans="2:21" ht="16.8" x14ac:dyDescent="0.3">
      <c r="B23" s="122"/>
      <c r="C23" s="122"/>
      <c r="D23" s="123"/>
      <c r="E23" s="142"/>
      <c r="F23" s="139"/>
      <c r="G23" s="114"/>
      <c r="H23" s="133"/>
      <c r="I23" s="114"/>
      <c r="K23" s="151" t="s">
        <v>71</v>
      </c>
      <c r="L23" s="152"/>
      <c r="M23" s="152"/>
      <c r="N23" s="152"/>
    </row>
    <row r="24" spans="2:21" x14ac:dyDescent="0.3">
      <c r="B24" s="126" t="s">
        <v>60</v>
      </c>
      <c r="C24" s="126"/>
      <c r="D24" s="126"/>
      <c r="E24" s="138"/>
      <c r="F24" s="126"/>
      <c r="G24" s="126"/>
      <c r="H24" s="126"/>
      <c r="I24" s="126"/>
      <c r="K24" s="34" t="s">
        <v>72</v>
      </c>
      <c r="L24" s="153" t="s">
        <v>58</v>
      </c>
      <c r="M24" s="153"/>
      <c r="N24" s="153"/>
    </row>
    <row r="25" spans="2:21" ht="14.4" customHeight="1" x14ac:dyDescent="0.3">
      <c r="B25" s="128" t="s">
        <v>35</v>
      </c>
      <c r="C25" s="128"/>
      <c r="D25" s="128"/>
      <c r="E25" s="28">
        <v>9.3171296296296301E-3</v>
      </c>
      <c r="F25" s="29">
        <v>1.1111111111111111E-3</v>
      </c>
      <c r="G25" s="29">
        <v>1.7057291666666709E-3</v>
      </c>
      <c r="H25" s="29">
        <v>6.2962962962962964E-3</v>
      </c>
      <c r="I25" s="29">
        <v>3.9351851851851848E-3</v>
      </c>
      <c r="K25" s="35">
        <v>1</v>
      </c>
      <c r="L25" s="154">
        <v>2</v>
      </c>
      <c r="M25" s="154"/>
      <c r="N25" s="154"/>
    </row>
    <row r="26" spans="2:21" x14ac:dyDescent="0.3">
      <c r="B26" s="122" t="s">
        <v>65</v>
      </c>
      <c r="C26" s="122"/>
      <c r="D26" s="123"/>
      <c r="E26" s="124"/>
      <c r="F26" s="139">
        <v>3.4027777777777776E-3</v>
      </c>
      <c r="G26" s="114">
        <v>4.1666666666666666E-3</v>
      </c>
      <c r="H26" s="114">
        <v>1.4189814814814815E-2</v>
      </c>
      <c r="I26" s="114">
        <v>7.5115740740740742E-3</v>
      </c>
      <c r="K26" s="36">
        <v>2</v>
      </c>
      <c r="L26" s="154">
        <v>2</v>
      </c>
      <c r="M26" s="154"/>
      <c r="N26" s="154"/>
    </row>
    <row r="27" spans="2:21" ht="14.4" customHeight="1" x14ac:dyDescent="0.3">
      <c r="B27" s="122"/>
      <c r="C27" s="122"/>
      <c r="D27" s="123"/>
      <c r="E27" s="125"/>
      <c r="F27" s="139"/>
      <c r="G27" s="114"/>
      <c r="H27" s="114"/>
      <c r="I27" s="114"/>
      <c r="K27" s="35">
        <v>3</v>
      </c>
      <c r="L27" s="154">
        <v>2</v>
      </c>
      <c r="M27" s="154"/>
      <c r="N27" s="154"/>
    </row>
    <row r="28" spans="2:21" x14ac:dyDescent="0.3">
      <c r="B28" s="128" t="s">
        <v>36</v>
      </c>
      <c r="C28" s="128"/>
      <c r="D28" s="129"/>
      <c r="E28" s="125"/>
      <c r="F28" s="114">
        <v>4.7453703703703704E-4</v>
      </c>
      <c r="G28" s="132">
        <v>5.7870370370370367E-4</v>
      </c>
      <c r="H28" s="132">
        <v>2.4189814814814816E-3</v>
      </c>
      <c r="I28" s="114">
        <v>1.2152777777777778E-3</v>
      </c>
      <c r="K28" s="36">
        <v>4</v>
      </c>
      <c r="L28" s="154">
        <v>2</v>
      </c>
      <c r="M28" s="154"/>
      <c r="N28" s="154"/>
    </row>
    <row r="29" spans="2:21" x14ac:dyDescent="0.3">
      <c r="B29" s="128"/>
      <c r="C29" s="128"/>
      <c r="D29" s="129"/>
      <c r="E29" s="125"/>
      <c r="F29" s="114"/>
      <c r="G29" s="133"/>
      <c r="H29" s="143"/>
      <c r="I29" s="132"/>
      <c r="K29" s="35">
        <v>5</v>
      </c>
      <c r="L29" s="154">
        <v>0</v>
      </c>
      <c r="M29" s="154"/>
      <c r="N29" s="154"/>
    </row>
    <row r="30" spans="2:21" x14ac:dyDescent="0.3">
      <c r="B30" s="128" t="s">
        <v>37</v>
      </c>
      <c r="C30" s="128"/>
      <c r="D30" s="129"/>
      <c r="E30" s="136"/>
      <c r="F30" s="144"/>
      <c r="G30" s="132">
        <f>F25+G25</f>
        <v>2.8168402777777818E-3</v>
      </c>
      <c r="H30" s="134"/>
      <c r="I30" s="135"/>
    </row>
    <row r="31" spans="2:21" x14ac:dyDescent="0.3">
      <c r="B31" s="129"/>
      <c r="C31" s="130"/>
      <c r="D31" s="131"/>
      <c r="E31" s="136"/>
      <c r="F31" s="144"/>
      <c r="G31" s="133"/>
      <c r="H31" s="136"/>
      <c r="I31" s="137"/>
    </row>
    <row r="32" spans="2:21" x14ac:dyDescent="0.3">
      <c r="B32" s="128" t="s">
        <v>38</v>
      </c>
      <c r="C32" s="128"/>
      <c r="D32" s="129"/>
      <c r="E32" s="136"/>
      <c r="F32" s="144"/>
      <c r="G32" s="145">
        <f>G30+H25</f>
        <v>9.1131365740740773E-3</v>
      </c>
      <c r="H32" s="136"/>
      <c r="I32" s="137"/>
    </row>
    <row r="33" spans="2:11" x14ac:dyDescent="0.3">
      <c r="B33" s="128"/>
      <c r="C33" s="128"/>
      <c r="D33" s="129"/>
      <c r="E33" s="136"/>
      <c r="F33" s="144"/>
      <c r="G33" s="146"/>
      <c r="H33" s="136"/>
      <c r="I33" s="137"/>
    </row>
    <row r="34" spans="2:11" x14ac:dyDescent="0.3">
      <c r="B34" s="128" t="s">
        <v>39</v>
      </c>
      <c r="C34" s="128"/>
      <c r="D34" s="129"/>
      <c r="E34" s="136"/>
      <c r="F34" s="144"/>
      <c r="G34" s="145">
        <f>G32+I25</f>
        <v>1.3048321759259261E-2</v>
      </c>
      <c r="H34" s="136"/>
      <c r="I34" s="137"/>
    </row>
    <row r="35" spans="2:11" x14ac:dyDescent="0.3">
      <c r="B35" s="128"/>
      <c r="C35" s="128"/>
      <c r="D35" s="129"/>
      <c r="E35" s="136"/>
      <c r="F35" s="144"/>
      <c r="G35" s="146"/>
      <c r="H35" s="136"/>
      <c r="I35" s="137"/>
    </row>
    <row r="36" spans="2:11" x14ac:dyDescent="0.3">
      <c r="B36" s="128" t="s">
        <v>66</v>
      </c>
      <c r="C36" s="128"/>
      <c r="D36" s="129"/>
      <c r="E36" s="125"/>
      <c r="F36" s="139">
        <v>4.43287037037037E-3</v>
      </c>
      <c r="G36" s="132">
        <v>3.6921296296296298E-3</v>
      </c>
      <c r="H36" s="132">
        <v>0</v>
      </c>
      <c r="I36" s="114">
        <v>5.7175925925925927E-3</v>
      </c>
      <c r="K36" s="2"/>
    </row>
    <row r="37" spans="2:11" x14ac:dyDescent="0.3">
      <c r="B37" s="128"/>
      <c r="C37" s="128"/>
      <c r="D37" s="129"/>
      <c r="E37" s="142"/>
      <c r="F37" s="139"/>
      <c r="G37" s="133"/>
      <c r="H37" s="143"/>
      <c r="I37" s="132"/>
    </row>
    <row r="38" spans="2:11" x14ac:dyDescent="0.3">
      <c r="B38" s="126" t="s">
        <v>61</v>
      </c>
      <c r="C38" s="126"/>
      <c r="D38" s="126"/>
      <c r="E38" s="138"/>
      <c r="F38" s="126"/>
      <c r="G38" s="126"/>
      <c r="H38" s="126"/>
      <c r="I38" s="126"/>
    </row>
    <row r="39" spans="2:11" x14ac:dyDescent="0.3">
      <c r="B39" s="155">
        <v>5.2083333333333336E-2</v>
      </c>
      <c r="C39" s="155"/>
      <c r="D39" s="155"/>
      <c r="E39" s="155"/>
      <c r="F39" s="155"/>
      <c r="G39" s="155"/>
      <c r="H39" s="155"/>
      <c r="I39" s="155"/>
    </row>
    <row r="40" spans="2:11" x14ac:dyDescent="0.3">
      <c r="B40" s="147" t="s">
        <v>63</v>
      </c>
      <c r="C40" s="148"/>
      <c r="D40" s="148"/>
      <c r="E40" s="148"/>
      <c r="F40" s="148"/>
      <c r="G40" s="148"/>
      <c r="H40" s="148"/>
      <c r="I40" s="148"/>
    </row>
    <row r="41" spans="2:11" x14ac:dyDescent="0.3">
      <c r="B41" s="149">
        <v>0.10246527777777778</v>
      </c>
      <c r="C41" s="150"/>
      <c r="D41" s="150"/>
      <c r="E41" s="150"/>
      <c r="F41" s="150"/>
      <c r="G41" s="150"/>
      <c r="H41" s="150"/>
      <c r="I41" s="150"/>
    </row>
    <row r="42" spans="2:11" x14ac:dyDescent="0.3">
      <c r="B42" s="147" t="s">
        <v>70</v>
      </c>
      <c r="C42" s="148"/>
      <c r="D42" s="148"/>
      <c r="E42" s="148"/>
      <c r="F42" s="148"/>
      <c r="G42" s="148"/>
      <c r="H42" s="148"/>
      <c r="I42" s="148"/>
    </row>
    <row r="43" spans="2:11" x14ac:dyDescent="0.3">
      <c r="B43" s="149">
        <v>2.3379629629629631E-3</v>
      </c>
      <c r="C43" s="150"/>
      <c r="D43" s="150"/>
      <c r="E43" s="150"/>
      <c r="F43" s="150"/>
      <c r="G43" s="150"/>
      <c r="H43" s="150"/>
      <c r="I43" s="150"/>
    </row>
  </sheetData>
  <mergeCells count="145">
    <mergeCell ref="B42:I42"/>
    <mergeCell ref="B43:I43"/>
    <mergeCell ref="K23:N23"/>
    <mergeCell ref="L24:N24"/>
    <mergeCell ref="L25:N25"/>
    <mergeCell ref="L26:N26"/>
    <mergeCell ref="L27:N27"/>
    <mergeCell ref="L28:N28"/>
    <mergeCell ref="L29:N29"/>
    <mergeCell ref="B38:I38"/>
    <mergeCell ref="B39:I39"/>
    <mergeCell ref="B40:I40"/>
    <mergeCell ref="B41:I41"/>
    <mergeCell ref="B36:D37"/>
    <mergeCell ref="E36:E37"/>
    <mergeCell ref="F36:F37"/>
    <mergeCell ref="G36:G37"/>
    <mergeCell ref="H36:H37"/>
    <mergeCell ref="I36:I37"/>
    <mergeCell ref="B28:D29"/>
    <mergeCell ref="E28:E29"/>
    <mergeCell ref="F28:F29"/>
    <mergeCell ref="B34:D35"/>
    <mergeCell ref="B32:D33"/>
    <mergeCell ref="K19:O19"/>
    <mergeCell ref="K20:L20"/>
    <mergeCell ref="M20:O20"/>
    <mergeCell ref="K21:L21"/>
    <mergeCell ref="M21:O21"/>
    <mergeCell ref="M13:O13"/>
    <mergeCell ref="M14:O14"/>
    <mergeCell ref="M15:O15"/>
    <mergeCell ref="M16:O16"/>
    <mergeCell ref="M17:O17"/>
    <mergeCell ref="M18:O18"/>
    <mergeCell ref="K16:L16"/>
    <mergeCell ref="K17:L17"/>
    <mergeCell ref="K18:L18"/>
    <mergeCell ref="K13:L13"/>
    <mergeCell ref="K14:L14"/>
    <mergeCell ref="K15:L15"/>
    <mergeCell ref="M7:O7"/>
    <mergeCell ref="M8:O8"/>
    <mergeCell ref="M9:O9"/>
    <mergeCell ref="M10:O10"/>
    <mergeCell ref="M11:O11"/>
    <mergeCell ref="M12:O12"/>
    <mergeCell ref="K8:L8"/>
    <mergeCell ref="K7:L7"/>
    <mergeCell ref="K9:L9"/>
    <mergeCell ref="K10:L10"/>
    <mergeCell ref="K11:L11"/>
    <mergeCell ref="I20:I21"/>
    <mergeCell ref="F18:F19"/>
    <mergeCell ref="G18:G19"/>
    <mergeCell ref="I26:I27"/>
    <mergeCell ref="G28:G29"/>
    <mergeCell ref="H28:H29"/>
    <mergeCell ref="I28:I29"/>
    <mergeCell ref="E30:F35"/>
    <mergeCell ref="G32:G33"/>
    <mergeCell ref="G34:G35"/>
    <mergeCell ref="E20:E21"/>
    <mergeCell ref="F20:F21"/>
    <mergeCell ref="G20:G21"/>
    <mergeCell ref="H20:H21"/>
    <mergeCell ref="B30:D31"/>
    <mergeCell ref="G30:G31"/>
    <mergeCell ref="H30:I35"/>
    <mergeCell ref="B24:I24"/>
    <mergeCell ref="B11:D12"/>
    <mergeCell ref="E11:E12"/>
    <mergeCell ref="F11:F12"/>
    <mergeCell ref="G11:G12"/>
    <mergeCell ref="H11:H12"/>
    <mergeCell ref="I11:I12"/>
    <mergeCell ref="B25:D25"/>
    <mergeCell ref="B26:D27"/>
    <mergeCell ref="E26:E27"/>
    <mergeCell ref="F26:F27"/>
    <mergeCell ref="G26:G27"/>
    <mergeCell ref="H26:H27"/>
    <mergeCell ref="F17:I17"/>
    <mergeCell ref="B22:D23"/>
    <mergeCell ref="E22:E23"/>
    <mergeCell ref="F22:F23"/>
    <mergeCell ref="G22:G23"/>
    <mergeCell ref="H22:H23"/>
    <mergeCell ref="I22:I23"/>
    <mergeCell ref="B20:D21"/>
    <mergeCell ref="B9:D10"/>
    <mergeCell ref="H18:H19"/>
    <mergeCell ref="I18:I19"/>
    <mergeCell ref="B8:D8"/>
    <mergeCell ref="B7:D7"/>
    <mergeCell ref="E9:E10"/>
    <mergeCell ref="F9:F10"/>
    <mergeCell ref="G9:G10"/>
    <mergeCell ref="B2:G2"/>
    <mergeCell ref="B3:G3"/>
    <mergeCell ref="B5:I5"/>
    <mergeCell ref="B6:D6"/>
    <mergeCell ref="H9:H10"/>
    <mergeCell ref="I9:I10"/>
    <mergeCell ref="I1:V2"/>
    <mergeCell ref="K6:O6"/>
    <mergeCell ref="K5:O5"/>
    <mergeCell ref="B14:I14"/>
    <mergeCell ref="B17:D17"/>
    <mergeCell ref="B18:D19"/>
    <mergeCell ref="E18:E19"/>
    <mergeCell ref="B15:I15"/>
    <mergeCell ref="B16:D16"/>
    <mergeCell ref="K12:L12"/>
    <mergeCell ref="Q5:U5"/>
    <mergeCell ref="Q6:U6"/>
    <mergeCell ref="Q7:R7"/>
    <mergeCell ref="S7:U7"/>
    <mergeCell ref="Q8:R8"/>
    <mergeCell ref="S8:U8"/>
    <mergeCell ref="Q9:R9"/>
    <mergeCell ref="S9:U9"/>
    <mergeCell ref="Q10:R10"/>
    <mergeCell ref="S10:U10"/>
    <mergeCell ref="Q11:R11"/>
    <mergeCell ref="S11:U11"/>
    <mergeCell ref="Q12:R12"/>
    <mergeCell ref="S12:U12"/>
    <mergeCell ref="Q13:R13"/>
    <mergeCell ref="S13:U13"/>
    <mergeCell ref="Q14:R14"/>
    <mergeCell ref="S14:U14"/>
    <mergeCell ref="Q15:R15"/>
    <mergeCell ref="S15:U15"/>
    <mergeCell ref="Q21:R21"/>
    <mergeCell ref="S21:U21"/>
    <mergeCell ref="Q16:R16"/>
    <mergeCell ref="S16:U16"/>
    <mergeCell ref="Q17:R17"/>
    <mergeCell ref="S17:U17"/>
    <mergeCell ref="Q18:R18"/>
    <mergeCell ref="S18:U18"/>
    <mergeCell ref="Q19:U19"/>
    <mergeCell ref="Q20:R20"/>
    <mergeCell ref="S20:U20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903C1-E62E-49A7-B13F-41B2552EE5E7}">
  <dimension ref="B3:R37"/>
  <sheetViews>
    <sheetView topLeftCell="A8" zoomScale="71" zoomScaleNormal="77" workbookViewId="0">
      <selection activeCell="N27" sqref="N27:R27"/>
    </sheetView>
  </sheetViews>
  <sheetFormatPr defaultRowHeight="14.4" x14ac:dyDescent="0.3"/>
  <cols>
    <col min="2" max="2" width="11.33203125" customWidth="1"/>
    <col min="3" max="3" width="20" customWidth="1"/>
    <col min="4" max="4" width="8.88671875" hidden="1" customWidth="1"/>
    <col min="7" max="7" width="8.88671875" customWidth="1"/>
    <col min="8" max="8" width="10.109375" customWidth="1"/>
    <col min="9" max="9" width="11.33203125" customWidth="1"/>
    <col min="10" max="10" width="12.6640625" customWidth="1"/>
    <col min="11" max="11" width="12.109375" customWidth="1"/>
    <col min="12" max="12" width="11" customWidth="1"/>
    <col min="17" max="17" width="11.109375" customWidth="1"/>
  </cols>
  <sheetData>
    <row r="3" spans="2:17" x14ac:dyDescent="0.3">
      <c r="B3" s="89" t="s">
        <v>154</v>
      </c>
      <c r="C3" s="77">
        <v>0</v>
      </c>
      <c r="D3" s="77"/>
      <c r="E3" s="92" t="s">
        <v>157</v>
      </c>
      <c r="F3" s="77">
        <f>AVERAGE(K9:K23)</f>
        <v>1.2411428571428569</v>
      </c>
      <c r="N3" s="195" t="s">
        <v>160</v>
      </c>
      <c r="O3" s="195"/>
      <c r="P3" s="195"/>
      <c r="Q3" s="195"/>
    </row>
    <row r="4" spans="2:17" x14ac:dyDescent="0.3">
      <c r="B4" s="89" t="s">
        <v>155</v>
      </c>
      <c r="C4" s="77">
        <v>8.5858538805623167E-3</v>
      </c>
      <c r="D4" s="77"/>
      <c r="E4" s="92" t="s">
        <v>159</v>
      </c>
      <c r="F4" s="77">
        <f>AVERAGE(L9:L23)</f>
        <v>1.711608163265306</v>
      </c>
      <c r="N4" s="49" t="s">
        <v>161</v>
      </c>
      <c r="O4" s="49" t="s">
        <v>162</v>
      </c>
      <c r="P4" s="49" t="s">
        <v>163</v>
      </c>
      <c r="Q4" s="49" t="s">
        <v>165</v>
      </c>
    </row>
    <row r="5" spans="2:17" x14ac:dyDescent="0.3">
      <c r="B5" s="89" t="s">
        <v>156</v>
      </c>
      <c r="C5" s="77">
        <v>0.23277802911550804</v>
      </c>
      <c r="D5" s="77"/>
      <c r="E5" s="92" t="s">
        <v>158</v>
      </c>
      <c r="F5" s="77">
        <f>SQRT(F4)</f>
        <v>1.3082844351536504</v>
      </c>
      <c r="N5" s="49">
        <v>11</v>
      </c>
      <c r="O5" s="49">
        <v>10</v>
      </c>
      <c r="P5" s="49">
        <f>O5-N5</f>
        <v>-1</v>
      </c>
      <c r="Q5" s="49">
        <f>P5/5</f>
        <v>-0.2</v>
      </c>
    </row>
    <row r="6" spans="2:17" x14ac:dyDescent="0.3">
      <c r="N6" s="49">
        <v>6</v>
      </c>
      <c r="O6" s="49">
        <v>8</v>
      </c>
      <c r="P6" s="49">
        <f t="shared" ref="P6:P9" si="0">O6-N6</f>
        <v>2</v>
      </c>
      <c r="Q6" s="49">
        <f t="shared" ref="Q6:Q9" si="1">P6/5</f>
        <v>0.4</v>
      </c>
    </row>
    <row r="7" spans="2:17" x14ac:dyDescent="0.3">
      <c r="N7" s="49">
        <v>5</v>
      </c>
      <c r="O7" s="49">
        <v>7</v>
      </c>
      <c r="P7" s="49">
        <f t="shared" si="0"/>
        <v>2</v>
      </c>
      <c r="Q7" s="49">
        <f t="shared" si="1"/>
        <v>0.4</v>
      </c>
    </row>
    <row r="8" spans="2:17" x14ac:dyDescent="0.3">
      <c r="B8" s="95" t="s">
        <v>147</v>
      </c>
      <c r="C8" s="95" t="s">
        <v>46</v>
      </c>
      <c r="D8" s="95" t="s">
        <v>58</v>
      </c>
      <c r="E8" s="95" t="s">
        <v>58</v>
      </c>
      <c r="F8" s="95" t="s">
        <v>164</v>
      </c>
      <c r="G8" s="95" t="s">
        <v>148</v>
      </c>
      <c r="H8" s="95" t="s">
        <v>149</v>
      </c>
      <c r="I8" s="95" t="s">
        <v>150</v>
      </c>
      <c r="J8" s="95" t="s">
        <v>151</v>
      </c>
      <c r="K8" s="95" t="s">
        <v>152</v>
      </c>
      <c r="L8" s="95" t="s">
        <v>153</v>
      </c>
      <c r="N8" s="49">
        <v>10</v>
      </c>
      <c r="O8" s="49">
        <v>10</v>
      </c>
      <c r="P8" s="49">
        <f t="shared" si="0"/>
        <v>0</v>
      </c>
      <c r="Q8" s="49">
        <f t="shared" si="1"/>
        <v>0</v>
      </c>
    </row>
    <row r="9" spans="2:17" x14ac:dyDescent="0.3">
      <c r="B9" s="96">
        <v>45932</v>
      </c>
      <c r="C9" s="194" t="s">
        <v>50</v>
      </c>
      <c r="D9" s="194"/>
      <c r="E9" s="98">
        <v>11</v>
      </c>
      <c r="F9" s="98"/>
      <c r="G9" s="98"/>
      <c r="H9" s="98">
        <f>E9/$F$13</f>
        <v>1.5714285714285714</v>
      </c>
      <c r="I9" s="98"/>
      <c r="J9" s="98"/>
      <c r="K9" s="98"/>
      <c r="L9" s="98"/>
      <c r="N9" s="49">
        <v>3</v>
      </c>
      <c r="O9" s="49">
        <v>4</v>
      </c>
      <c r="P9" s="49">
        <f t="shared" si="0"/>
        <v>1</v>
      </c>
      <c r="Q9" s="49">
        <f t="shared" si="1"/>
        <v>0.2</v>
      </c>
    </row>
    <row r="10" spans="2:17" x14ac:dyDescent="0.3">
      <c r="B10" s="96">
        <v>45932</v>
      </c>
      <c r="C10" s="194" t="s">
        <v>51</v>
      </c>
      <c r="D10" s="194"/>
      <c r="E10" s="98">
        <v>6</v>
      </c>
      <c r="F10" s="98"/>
      <c r="G10" s="98"/>
      <c r="H10" s="98">
        <f>E10/$F$13</f>
        <v>0.8571428571428571</v>
      </c>
      <c r="I10" s="98"/>
      <c r="J10" s="98"/>
      <c r="K10" s="98"/>
      <c r="L10" s="98"/>
      <c r="Q10" s="49">
        <f>AVERAGE(Q5:Q9)</f>
        <v>0.16</v>
      </c>
    </row>
    <row r="11" spans="2:17" x14ac:dyDescent="0.3">
      <c r="B11" s="96">
        <v>45932</v>
      </c>
      <c r="C11" s="194" t="s">
        <v>47</v>
      </c>
      <c r="D11" s="194"/>
      <c r="E11" s="98">
        <v>5</v>
      </c>
      <c r="F11" s="98"/>
      <c r="G11" s="98"/>
      <c r="H11" s="98">
        <f>E11/$F$13</f>
        <v>0.7142857142857143</v>
      </c>
      <c r="I11" s="98"/>
      <c r="J11" s="98"/>
      <c r="K11" s="98"/>
      <c r="L11" s="98"/>
    </row>
    <row r="12" spans="2:17" x14ac:dyDescent="0.3">
      <c r="B12" s="96">
        <v>45932</v>
      </c>
      <c r="C12" s="194" t="s">
        <v>48</v>
      </c>
      <c r="D12" s="194"/>
      <c r="E12" s="98">
        <v>10</v>
      </c>
      <c r="F12" s="98"/>
      <c r="G12" s="98"/>
      <c r="H12" s="98">
        <f>E12/$F$13</f>
        <v>1.4285714285714286</v>
      </c>
      <c r="I12" s="98"/>
      <c r="J12" s="98"/>
      <c r="K12" s="98"/>
      <c r="L12" s="98"/>
    </row>
    <row r="13" spans="2:17" x14ac:dyDescent="0.3">
      <c r="B13" s="96">
        <v>45932</v>
      </c>
      <c r="C13" s="194" t="s">
        <v>49</v>
      </c>
      <c r="D13" s="194"/>
      <c r="E13" s="98">
        <v>3</v>
      </c>
      <c r="F13" s="98">
        <f>AVERAGE(E9:E13)</f>
        <v>7</v>
      </c>
      <c r="G13" s="98">
        <f>Q10</f>
        <v>0.16</v>
      </c>
      <c r="H13" s="98">
        <f>E13/$F$13</f>
        <v>0.42857142857142855</v>
      </c>
      <c r="I13" s="98"/>
      <c r="J13" s="98"/>
      <c r="K13" s="98"/>
      <c r="L13" s="98"/>
    </row>
    <row r="14" spans="2:17" x14ac:dyDescent="0.3">
      <c r="B14" s="96">
        <v>45964</v>
      </c>
      <c r="C14" s="196" t="s">
        <v>50</v>
      </c>
      <c r="D14" s="197"/>
      <c r="E14" s="98">
        <v>10</v>
      </c>
      <c r="F14" s="98">
        <f>$C$3*(E14/H9)+(1-$C$3)*(F13+G13)</f>
        <v>7.16</v>
      </c>
      <c r="G14" s="98">
        <f>$C$4*(F14-F13)+(1-$C$4)*G13</f>
        <v>0.16</v>
      </c>
      <c r="H14" s="98">
        <f>$C$5*(E14/F14)+(1-$C$5)*H9</f>
        <v>1.5307435048872335</v>
      </c>
      <c r="I14" s="98">
        <f>(F13+1*G13)*H9</f>
        <v>11.251428571428571</v>
      </c>
      <c r="J14" s="98">
        <f>E14-I14</f>
        <v>-1.2514285714285709</v>
      </c>
      <c r="K14" s="98">
        <f>ABS(J14)</f>
        <v>1.2514285714285709</v>
      </c>
      <c r="L14" s="98">
        <f>J14^2</f>
        <v>1.5660734693877538</v>
      </c>
    </row>
    <row r="15" spans="2:17" x14ac:dyDescent="0.3">
      <c r="B15" s="96">
        <v>45964</v>
      </c>
      <c r="C15" s="194" t="s">
        <v>51</v>
      </c>
      <c r="D15" s="194"/>
      <c r="E15" s="98">
        <v>8</v>
      </c>
      <c r="F15" s="98">
        <f>$C$3*(E15/H10)+(1-$C$3)*(F14+G14)</f>
        <v>7.32</v>
      </c>
      <c r="G15" s="98">
        <f>$C$4*(F15-F14)+(1-$C$4)*G14</f>
        <v>0.16</v>
      </c>
      <c r="H15" s="98">
        <f>$C$5*(E15/F15)+(1-$C$5)*H10</f>
        <v>0.91202104979928444</v>
      </c>
      <c r="I15" s="98">
        <f>(F14+1*G14)*H10</f>
        <v>6.274285714285714</v>
      </c>
      <c r="J15" s="98">
        <f t="shared" ref="J15:J17" si="2">E15-I15</f>
        <v>1.725714285714286</v>
      </c>
      <c r="K15" s="98">
        <f t="shared" ref="K15:K17" si="3">ABS(J15)</f>
        <v>1.725714285714286</v>
      </c>
      <c r="L15" s="98">
        <f t="shared" ref="L15:L17" si="4">J15^2</f>
        <v>2.9780897959183683</v>
      </c>
    </row>
    <row r="16" spans="2:17" x14ac:dyDescent="0.3">
      <c r="B16" s="96">
        <v>45964</v>
      </c>
      <c r="C16" s="194" t="s">
        <v>47</v>
      </c>
      <c r="D16" s="194"/>
      <c r="E16" s="98">
        <v>7</v>
      </c>
      <c r="F16" s="98">
        <f>$C$3*(E16/H11)+(1-$C$3)*(F15+G15)</f>
        <v>7.48</v>
      </c>
      <c r="G16" s="98">
        <f>$C$4*(F16-F15)+(1-$C$4)*G15</f>
        <v>0.16</v>
      </c>
      <c r="H16" s="98">
        <f>$C$5*(E16/F16)+(1-$C$5)*H11</f>
        <v>0.76585609506760688</v>
      </c>
      <c r="I16" s="98">
        <f>(F15+1*G15)*H11</f>
        <v>5.3428571428571434</v>
      </c>
      <c r="J16" s="98">
        <f>E16-I16</f>
        <v>1.6571428571428566</v>
      </c>
      <c r="K16" s="98">
        <f t="shared" si="3"/>
        <v>1.6571428571428566</v>
      </c>
      <c r="L16" s="98">
        <f t="shared" si="4"/>
        <v>2.7461224489795901</v>
      </c>
    </row>
    <row r="17" spans="2:18" x14ac:dyDescent="0.3">
      <c r="B17" s="96">
        <v>45964</v>
      </c>
      <c r="C17" s="194" t="s">
        <v>48</v>
      </c>
      <c r="D17" s="194"/>
      <c r="E17" s="98">
        <v>10</v>
      </c>
      <c r="F17" s="98">
        <f>$C$3*(E17/H12)+(1-$C$3)*(F16+G16)</f>
        <v>7.6400000000000006</v>
      </c>
      <c r="G17" s="98">
        <f>$C$4*(F17-F16)+(1-$C$4)*G16</f>
        <v>0.16</v>
      </c>
      <c r="H17" s="98">
        <f>$C$5*(E17/F17)+(1-$C$5)*H12</f>
        <v>1.4007146711604479</v>
      </c>
      <c r="I17" s="98">
        <f>(F16+1*G16)*H12</f>
        <v>10.914285714285715</v>
      </c>
      <c r="J17" s="98">
        <f t="shared" si="2"/>
        <v>-0.91428571428571459</v>
      </c>
      <c r="K17" s="98">
        <f t="shared" si="3"/>
        <v>0.91428571428571459</v>
      </c>
      <c r="L17" s="98">
        <f t="shared" si="4"/>
        <v>0.83591836734693936</v>
      </c>
    </row>
    <row r="18" spans="2:18" x14ac:dyDescent="0.3">
      <c r="B18" s="96">
        <v>45964</v>
      </c>
      <c r="C18" s="194" t="s">
        <v>49</v>
      </c>
      <c r="D18" s="194"/>
      <c r="E18" s="98">
        <v>4</v>
      </c>
      <c r="F18" s="98">
        <f>$C$3*(E18/H13)+(1-$C$3)*(F17+G17)</f>
        <v>7.8000000000000007</v>
      </c>
      <c r="G18" s="98">
        <f>$C$4*(F18-F17)+(1-$C$4)*G17</f>
        <v>0.16</v>
      </c>
      <c r="H18" s="98">
        <f>$C$5*(E18/F18)+(1-$C$5)*H13</f>
        <v>0.44818276435771676</v>
      </c>
      <c r="I18" s="98">
        <f>(F17+1*G17)*H13</f>
        <v>3.342857142857143</v>
      </c>
      <c r="J18" s="98">
        <f>E18-I18</f>
        <v>0.65714285714285703</v>
      </c>
      <c r="K18" s="98">
        <f>ABS(J18)</f>
        <v>0.65714285714285703</v>
      </c>
      <c r="L18" s="98">
        <f>J18^2</f>
        <v>0.4318367346938774</v>
      </c>
    </row>
    <row r="19" spans="2:18" x14ac:dyDescent="0.3">
      <c r="B19" s="96">
        <v>46024</v>
      </c>
      <c r="C19" s="194" t="s">
        <v>50</v>
      </c>
      <c r="D19" s="194"/>
      <c r="E19" s="98"/>
      <c r="F19" s="98"/>
      <c r="G19" s="98"/>
      <c r="H19" s="98"/>
      <c r="I19" s="98">
        <f>($F$18+M19*$G$18)*H14</f>
        <v>12.18471829890238</v>
      </c>
      <c r="J19" s="98"/>
      <c r="K19" s="98"/>
      <c r="L19" s="98"/>
      <c r="M19" s="1">
        <v>1</v>
      </c>
    </row>
    <row r="20" spans="2:18" x14ac:dyDescent="0.3">
      <c r="B20" s="96">
        <v>46024</v>
      </c>
      <c r="C20" s="194" t="s">
        <v>51</v>
      </c>
      <c r="D20" s="194"/>
      <c r="E20" s="98"/>
      <c r="F20" s="98"/>
      <c r="G20" s="98"/>
      <c r="H20" s="98"/>
      <c r="I20" s="98">
        <f>($F$18+M20*$G$18)*H15</f>
        <v>7.4056109243701904</v>
      </c>
      <c r="J20" s="98"/>
      <c r="K20" s="98"/>
      <c r="L20" s="98"/>
      <c r="M20" s="1">
        <v>2</v>
      </c>
    </row>
    <row r="21" spans="2:18" x14ac:dyDescent="0.3">
      <c r="B21" s="96">
        <v>46024</v>
      </c>
      <c r="C21" s="194" t="s">
        <v>47</v>
      </c>
      <c r="D21" s="194"/>
      <c r="E21" s="98"/>
      <c r="F21" s="98"/>
      <c r="G21" s="98"/>
      <c r="H21" s="98"/>
      <c r="I21" s="98">
        <f>($F$18+M21*$G$18)*H16</f>
        <v>6.341288467159786</v>
      </c>
      <c r="J21" s="98"/>
      <c r="K21" s="98"/>
      <c r="L21" s="98"/>
      <c r="M21" s="1">
        <v>3</v>
      </c>
    </row>
    <row r="22" spans="2:18" x14ac:dyDescent="0.3">
      <c r="B22" s="96">
        <v>46024</v>
      </c>
      <c r="C22" s="194" t="s">
        <v>48</v>
      </c>
      <c r="D22" s="194"/>
      <c r="E22" s="98"/>
      <c r="F22" s="98"/>
      <c r="G22" s="98"/>
      <c r="H22" s="98"/>
      <c r="I22" s="98">
        <f>($F$18+M22*$G$18)*H17</f>
        <v>11.822031824594182</v>
      </c>
      <c r="J22" s="98"/>
      <c r="K22" s="98"/>
      <c r="L22" s="98"/>
      <c r="M22" s="1">
        <v>4</v>
      </c>
    </row>
    <row r="23" spans="2:18" x14ac:dyDescent="0.3">
      <c r="B23" s="96">
        <v>46024</v>
      </c>
      <c r="C23" s="194" t="s">
        <v>49</v>
      </c>
      <c r="D23" s="194"/>
      <c r="E23" s="98"/>
      <c r="F23" s="98"/>
      <c r="G23" s="98"/>
      <c r="H23" s="98"/>
      <c r="I23" s="98">
        <f>($F$18+M23*$G$18)*H18</f>
        <v>3.8543717734763647</v>
      </c>
      <c r="J23" s="98"/>
      <c r="K23" s="98"/>
      <c r="L23" s="98"/>
      <c r="M23" s="1">
        <v>5</v>
      </c>
    </row>
    <row r="25" spans="2:18" x14ac:dyDescent="0.3">
      <c r="B25" s="19" t="s">
        <v>88</v>
      </c>
      <c r="C25" s="19"/>
      <c r="D25" s="19"/>
      <c r="E25" s="19"/>
      <c r="F25" s="19"/>
      <c r="G25" s="19"/>
      <c r="H25" s="19" t="s">
        <v>11</v>
      </c>
      <c r="I25" s="19"/>
      <c r="J25" s="19"/>
      <c r="K25" s="19"/>
      <c r="L25" s="19"/>
      <c r="N25" t="s">
        <v>143</v>
      </c>
    </row>
    <row r="26" spans="2:18" x14ac:dyDescent="0.3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2:18" ht="16.8" x14ac:dyDescent="0.3">
      <c r="B27" s="110" t="s">
        <v>43</v>
      </c>
      <c r="C27" s="110"/>
      <c r="D27" s="110"/>
      <c r="E27" s="110"/>
      <c r="F27" s="110"/>
      <c r="G27" s="19"/>
      <c r="H27" s="110" t="s">
        <v>43</v>
      </c>
      <c r="I27" s="110"/>
      <c r="J27" s="110"/>
      <c r="K27" s="110"/>
      <c r="L27" s="110"/>
      <c r="N27" s="110" t="s">
        <v>43</v>
      </c>
      <c r="O27" s="110"/>
      <c r="P27" s="110"/>
      <c r="Q27" s="110"/>
      <c r="R27" s="110"/>
    </row>
    <row r="28" spans="2:18" ht="15.6" x14ac:dyDescent="0.3">
      <c r="B28" s="109" t="s">
        <v>142</v>
      </c>
      <c r="C28" s="109"/>
      <c r="D28" s="109"/>
      <c r="E28" s="109"/>
      <c r="F28" s="109"/>
      <c r="G28" s="19"/>
      <c r="H28" s="109" t="s">
        <v>142</v>
      </c>
      <c r="I28" s="109"/>
      <c r="J28" s="109"/>
      <c r="K28" s="109"/>
      <c r="L28" s="109"/>
      <c r="N28" s="109" t="s">
        <v>142</v>
      </c>
      <c r="O28" s="109"/>
      <c r="P28" s="109"/>
      <c r="Q28" s="109"/>
      <c r="R28" s="109"/>
    </row>
    <row r="29" spans="2:18" x14ac:dyDescent="0.3">
      <c r="B29" s="111" t="s">
        <v>46</v>
      </c>
      <c r="C29" s="111"/>
      <c r="D29" s="111" t="s">
        <v>58</v>
      </c>
      <c r="E29" s="111"/>
      <c r="F29" s="111"/>
      <c r="G29" s="19"/>
      <c r="H29" s="127" t="s">
        <v>46</v>
      </c>
      <c r="I29" s="127"/>
      <c r="J29" s="127" t="s">
        <v>58</v>
      </c>
      <c r="K29" s="127"/>
      <c r="L29" s="127"/>
      <c r="N29" s="127" t="s">
        <v>46</v>
      </c>
      <c r="O29" s="127"/>
      <c r="P29" s="127" t="s">
        <v>58</v>
      </c>
      <c r="Q29" s="127"/>
      <c r="R29" s="127"/>
    </row>
    <row r="30" spans="2:18" x14ac:dyDescent="0.3">
      <c r="B30" s="198" t="s">
        <v>50</v>
      </c>
      <c r="C30" s="198"/>
      <c r="D30" s="108">
        <v>11</v>
      </c>
      <c r="E30" s="108"/>
      <c r="F30" s="108"/>
      <c r="G30" s="19"/>
      <c r="H30" s="198" t="s">
        <v>50</v>
      </c>
      <c r="I30" s="198"/>
      <c r="J30" s="198">
        <v>10</v>
      </c>
      <c r="K30" s="198"/>
      <c r="L30" s="198"/>
      <c r="N30" s="198" t="s">
        <v>50</v>
      </c>
      <c r="O30" s="198"/>
      <c r="P30" s="198">
        <v>12</v>
      </c>
      <c r="Q30" s="198"/>
      <c r="R30" s="198"/>
    </row>
    <row r="31" spans="2:18" x14ac:dyDescent="0.3">
      <c r="B31" s="198" t="s">
        <v>51</v>
      </c>
      <c r="C31" s="198"/>
      <c r="D31" s="108">
        <v>6</v>
      </c>
      <c r="E31" s="108"/>
      <c r="F31" s="108"/>
      <c r="G31" s="19"/>
      <c r="H31" s="198" t="s">
        <v>51</v>
      </c>
      <c r="I31" s="198"/>
      <c r="J31" s="198">
        <v>8</v>
      </c>
      <c r="K31" s="198"/>
      <c r="L31" s="198"/>
      <c r="N31" s="198" t="s">
        <v>51</v>
      </c>
      <c r="O31" s="198"/>
      <c r="P31" s="198">
        <v>7</v>
      </c>
      <c r="Q31" s="198"/>
      <c r="R31" s="198"/>
    </row>
    <row r="32" spans="2:18" x14ac:dyDescent="0.3">
      <c r="B32" s="198" t="s">
        <v>47</v>
      </c>
      <c r="C32" s="198"/>
      <c r="D32" s="108">
        <v>5</v>
      </c>
      <c r="E32" s="108"/>
      <c r="F32" s="108"/>
      <c r="G32" s="19"/>
      <c r="H32" s="198" t="s">
        <v>47</v>
      </c>
      <c r="I32" s="198"/>
      <c r="J32" s="198">
        <v>7</v>
      </c>
      <c r="K32" s="198"/>
      <c r="L32" s="198"/>
      <c r="N32" s="198" t="s">
        <v>47</v>
      </c>
      <c r="O32" s="198"/>
      <c r="P32" s="198">
        <v>6</v>
      </c>
      <c r="Q32" s="198"/>
      <c r="R32" s="198"/>
    </row>
    <row r="33" spans="2:18" x14ac:dyDescent="0.3">
      <c r="B33" s="198" t="s">
        <v>48</v>
      </c>
      <c r="C33" s="198"/>
      <c r="D33" s="108">
        <v>10</v>
      </c>
      <c r="E33" s="108"/>
      <c r="F33" s="108"/>
      <c r="G33" s="19"/>
      <c r="H33" s="198" t="s">
        <v>48</v>
      </c>
      <c r="I33" s="198"/>
      <c r="J33" s="198">
        <v>10</v>
      </c>
      <c r="K33" s="198"/>
      <c r="L33" s="198"/>
      <c r="N33" s="198" t="s">
        <v>48</v>
      </c>
      <c r="O33" s="198"/>
      <c r="P33" s="198">
        <v>11</v>
      </c>
      <c r="Q33" s="198"/>
      <c r="R33" s="198"/>
    </row>
    <row r="34" spans="2:18" x14ac:dyDescent="0.3">
      <c r="B34" s="198" t="s">
        <v>49</v>
      </c>
      <c r="C34" s="198"/>
      <c r="D34" s="108">
        <v>3</v>
      </c>
      <c r="E34" s="108"/>
      <c r="F34" s="108"/>
      <c r="G34" s="19"/>
      <c r="H34" s="198" t="s">
        <v>49</v>
      </c>
      <c r="I34" s="198"/>
      <c r="J34" s="198">
        <v>4</v>
      </c>
      <c r="K34" s="198"/>
      <c r="L34" s="198"/>
      <c r="N34" s="198" t="s">
        <v>49</v>
      </c>
      <c r="O34" s="198"/>
      <c r="P34" s="198">
        <v>3</v>
      </c>
      <c r="Q34" s="198"/>
      <c r="R34" s="198"/>
    </row>
    <row r="35" spans="2:18" ht="16.2" x14ac:dyDescent="0.3">
      <c r="B35" s="109" t="s">
        <v>62</v>
      </c>
      <c r="C35" s="109"/>
      <c r="D35" s="109"/>
      <c r="E35" s="109"/>
      <c r="F35" s="109"/>
      <c r="G35" s="19"/>
      <c r="H35" s="109" t="s">
        <v>62</v>
      </c>
      <c r="I35" s="109"/>
      <c r="J35" s="109"/>
      <c r="K35" s="109"/>
      <c r="L35" s="109"/>
      <c r="N35" s="109" t="s">
        <v>62</v>
      </c>
      <c r="O35" s="109"/>
      <c r="P35" s="109"/>
      <c r="Q35" s="109"/>
      <c r="R35" s="109"/>
    </row>
    <row r="36" spans="2:18" x14ac:dyDescent="0.3">
      <c r="B36" s="198" t="s">
        <v>50</v>
      </c>
      <c r="C36" s="198"/>
      <c r="D36" s="108">
        <v>11</v>
      </c>
      <c r="E36" s="108"/>
      <c r="F36" s="108"/>
      <c r="G36" s="19"/>
      <c r="H36" s="198" t="s">
        <v>50</v>
      </c>
      <c r="I36" s="198"/>
      <c r="J36" s="198">
        <v>8</v>
      </c>
      <c r="K36" s="198"/>
      <c r="L36" s="198"/>
      <c r="N36" s="198" t="s">
        <v>50</v>
      </c>
      <c r="O36" s="198"/>
      <c r="P36" s="198">
        <v>12</v>
      </c>
      <c r="Q36" s="198"/>
      <c r="R36" s="198"/>
    </row>
    <row r="37" spans="2:18" x14ac:dyDescent="0.3">
      <c r="B37" s="198" t="s">
        <v>48</v>
      </c>
      <c r="C37" s="198"/>
      <c r="D37" s="108">
        <v>10</v>
      </c>
      <c r="E37" s="108"/>
      <c r="F37" s="108"/>
      <c r="G37" s="19"/>
      <c r="H37" s="198" t="s">
        <v>48</v>
      </c>
      <c r="I37" s="198"/>
      <c r="J37" s="198">
        <v>10</v>
      </c>
      <c r="K37" s="198"/>
      <c r="L37" s="198"/>
      <c r="N37" s="198" t="s">
        <v>48</v>
      </c>
      <c r="O37" s="198"/>
      <c r="P37" s="198">
        <v>11</v>
      </c>
      <c r="Q37" s="198"/>
      <c r="R37" s="198"/>
    </row>
  </sheetData>
  <mergeCells count="73">
    <mergeCell ref="P37:R37"/>
    <mergeCell ref="B37:C37"/>
    <mergeCell ref="D37:F37"/>
    <mergeCell ref="H37:I37"/>
    <mergeCell ref="J37:L37"/>
    <mergeCell ref="N37:O37"/>
    <mergeCell ref="B35:F35"/>
    <mergeCell ref="H35:L35"/>
    <mergeCell ref="N35:R35"/>
    <mergeCell ref="B36:C36"/>
    <mergeCell ref="D36:F36"/>
    <mergeCell ref="H36:I36"/>
    <mergeCell ref="J36:L36"/>
    <mergeCell ref="N36:O36"/>
    <mergeCell ref="P36:R36"/>
    <mergeCell ref="P33:R33"/>
    <mergeCell ref="B34:C34"/>
    <mergeCell ref="D34:F34"/>
    <mergeCell ref="H34:I34"/>
    <mergeCell ref="J34:L34"/>
    <mergeCell ref="N34:O34"/>
    <mergeCell ref="P34:R34"/>
    <mergeCell ref="B33:C33"/>
    <mergeCell ref="D33:F33"/>
    <mergeCell ref="H33:I33"/>
    <mergeCell ref="J33:L33"/>
    <mergeCell ref="N33:O33"/>
    <mergeCell ref="P31:R31"/>
    <mergeCell ref="B32:C32"/>
    <mergeCell ref="D32:F32"/>
    <mergeCell ref="H32:I32"/>
    <mergeCell ref="J32:L32"/>
    <mergeCell ref="N32:O32"/>
    <mergeCell ref="P32:R32"/>
    <mergeCell ref="B31:C31"/>
    <mergeCell ref="D31:F31"/>
    <mergeCell ref="H31:I31"/>
    <mergeCell ref="J31:L31"/>
    <mergeCell ref="N31:O31"/>
    <mergeCell ref="P29:R29"/>
    <mergeCell ref="B30:C30"/>
    <mergeCell ref="D30:F30"/>
    <mergeCell ref="H30:I30"/>
    <mergeCell ref="J30:L30"/>
    <mergeCell ref="N30:O30"/>
    <mergeCell ref="P30:R30"/>
    <mergeCell ref="B29:C29"/>
    <mergeCell ref="D29:F29"/>
    <mergeCell ref="H29:I29"/>
    <mergeCell ref="J29:L29"/>
    <mergeCell ref="N29:O29"/>
    <mergeCell ref="B27:F27"/>
    <mergeCell ref="H27:L27"/>
    <mergeCell ref="N27:R27"/>
    <mergeCell ref="B28:F28"/>
    <mergeCell ref="H28:L28"/>
    <mergeCell ref="N28:R28"/>
    <mergeCell ref="N3:Q3"/>
    <mergeCell ref="C19:D19"/>
    <mergeCell ref="C20:D20"/>
    <mergeCell ref="C21:D21"/>
    <mergeCell ref="C22:D22"/>
    <mergeCell ref="C14:D14"/>
    <mergeCell ref="C12:D12"/>
    <mergeCell ref="C13:D13"/>
    <mergeCell ref="C9:D9"/>
    <mergeCell ref="C10:D10"/>
    <mergeCell ref="C11:D11"/>
    <mergeCell ref="C23:D23"/>
    <mergeCell ref="C18:D18"/>
    <mergeCell ref="C15:D15"/>
    <mergeCell ref="C16:D16"/>
    <mergeCell ref="C17:D17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E084D-88FB-4A44-853F-31AAABBFB5F4}">
  <dimension ref="B1:Z35"/>
  <sheetViews>
    <sheetView tabSelected="1" zoomScale="80" workbookViewId="0">
      <selection activeCell="G23" sqref="G23"/>
    </sheetView>
  </sheetViews>
  <sheetFormatPr defaultRowHeight="14.4" x14ac:dyDescent="0.3"/>
  <cols>
    <col min="1" max="1" width="8.88671875" customWidth="1"/>
    <col min="2" max="2" width="14.33203125" bestFit="1" customWidth="1"/>
    <col min="3" max="3" width="9.21875" customWidth="1"/>
    <col min="4" max="4" width="17.88671875" customWidth="1"/>
    <col min="5" max="5" width="16" customWidth="1"/>
    <col min="6" max="6" width="47.5546875" customWidth="1"/>
    <col min="7" max="7" width="18.5546875" customWidth="1"/>
    <col min="8" max="13" width="10.77734375" customWidth="1"/>
  </cols>
  <sheetData>
    <row r="1" spans="2:26" x14ac:dyDescent="0.3">
      <c r="F1" s="120" t="s">
        <v>77</v>
      </c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</row>
    <row r="2" spans="2:26" x14ac:dyDescent="0.3">
      <c r="B2" s="3"/>
      <c r="C2" s="3"/>
      <c r="D2" s="3"/>
      <c r="E2" s="3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</row>
    <row r="3" spans="2:26" ht="15.6" x14ac:dyDescent="0.3">
      <c r="B3" s="117" t="s">
        <v>11</v>
      </c>
      <c r="C3" s="117"/>
      <c r="D3" s="117"/>
      <c r="E3" s="117"/>
      <c r="F3" s="117"/>
      <c r="G3" s="117"/>
      <c r="H3" s="5"/>
      <c r="I3" s="5"/>
      <c r="J3" s="5"/>
      <c r="K3" s="5"/>
      <c r="L3" s="5"/>
      <c r="M3" s="5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2:26" ht="14.4" customHeight="1" x14ac:dyDescent="0.3">
      <c r="B4" s="117" t="s">
        <v>12</v>
      </c>
      <c r="C4" s="117"/>
      <c r="D4" s="117"/>
      <c r="E4" s="117"/>
      <c r="F4" s="117"/>
      <c r="G4" s="117"/>
      <c r="H4" s="5"/>
      <c r="I4" s="5"/>
      <c r="J4" s="5"/>
      <c r="K4" s="5"/>
      <c r="L4" s="5"/>
      <c r="M4" s="5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</row>
    <row r="5" spans="2:26" ht="15.6" x14ac:dyDescent="0.3">
      <c r="B5" s="5"/>
      <c r="C5" s="5"/>
      <c r="D5" s="5"/>
      <c r="E5" s="5"/>
      <c r="F5" s="11"/>
      <c r="G5" s="11"/>
      <c r="H5" s="11"/>
      <c r="I5" s="11"/>
      <c r="J5" s="11"/>
      <c r="K5" s="11"/>
      <c r="L5" s="11"/>
      <c r="M5" s="1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6.8" x14ac:dyDescent="0.3">
      <c r="B6" s="202" t="s">
        <v>13</v>
      </c>
      <c r="C6" s="202"/>
      <c r="D6" s="202"/>
      <c r="E6" s="202"/>
      <c r="F6" s="202"/>
      <c r="G6" s="202"/>
      <c r="H6" s="5"/>
      <c r="I6" s="5"/>
      <c r="J6" s="5"/>
      <c r="K6" s="5"/>
      <c r="L6" s="5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2:26" ht="48" customHeight="1" x14ac:dyDescent="0.3">
      <c r="B7" s="37" t="s">
        <v>14</v>
      </c>
      <c r="C7" s="37" t="s">
        <v>145</v>
      </c>
      <c r="D7" s="37" t="s">
        <v>15</v>
      </c>
      <c r="E7" s="37" t="s">
        <v>16</v>
      </c>
      <c r="F7" s="38" t="s">
        <v>69</v>
      </c>
      <c r="G7" s="38" t="s">
        <v>5</v>
      </c>
      <c r="H7" s="5"/>
      <c r="I7" s="201"/>
      <c r="J7" s="201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2:26" ht="15.6" x14ac:dyDescent="0.3">
      <c r="B8" s="39">
        <v>1</v>
      </c>
      <c r="C8" s="39">
        <v>1</v>
      </c>
      <c r="D8" s="44">
        <v>0.33726851851851852</v>
      </c>
      <c r="E8" s="44" t="s">
        <v>146</v>
      </c>
      <c r="F8" s="45" t="s">
        <v>73</v>
      </c>
      <c r="G8" s="39" t="s">
        <v>76</v>
      </c>
      <c r="H8" s="11"/>
      <c r="I8" s="201"/>
      <c r="J8" s="201"/>
      <c r="K8" s="11"/>
      <c r="L8" s="11"/>
      <c r="M8" s="1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2:26" ht="15.6" x14ac:dyDescent="0.3">
      <c r="B9" s="40">
        <v>2</v>
      </c>
      <c r="C9" s="39">
        <v>2</v>
      </c>
      <c r="D9" s="44">
        <v>0.34238425925925925</v>
      </c>
      <c r="E9" s="44" t="s">
        <v>146</v>
      </c>
      <c r="F9" s="45" t="s">
        <v>73</v>
      </c>
      <c r="G9" s="39" t="s">
        <v>76</v>
      </c>
      <c r="H9" s="13"/>
      <c r="I9" s="200"/>
      <c r="J9" s="200"/>
      <c r="K9" s="13"/>
      <c r="L9" s="13"/>
      <c r="M9" s="1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2:26" ht="15.6" x14ac:dyDescent="0.3">
      <c r="B10" s="39">
        <v>3</v>
      </c>
      <c r="C10" s="39">
        <v>3</v>
      </c>
      <c r="D10" s="44">
        <v>0.34627314814814814</v>
      </c>
      <c r="E10" s="44" t="s">
        <v>146</v>
      </c>
      <c r="F10" s="45" t="s">
        <v>73</v>
      </c>
      <c r="G10" s="39" t="s">
        <v>76</v>
      </c>
      <c r="H10" s="13"/>
      <c r="I10" s="13"/>
      <c r="J10" s="13"/>
      <c r="K10" s="13"/>
      <c r="L10" s="13"/>
      <c r="M10" s="1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2:26" ht="15.6" x14ac:dyDescent="0.3">
      <c r="B11" s="40">
        <v>4</v>
      </c>
      <c r="C11" s="39">
        <v>8</v>
      </c>
      <c r="D11" s="44">
        <v>0.35442129629629632</v>
      </c>
      <c r="E11" s="44" t="s">
        <v>146</v>
      </c>
      <c r="F11" s="94" t="s">
        <v>74</v>
      </c>
      <c r="G11" s="39" t="s">
        <v>76</v>
      </c>
      <c r="H11" s="13"/>
      <c r="I11" s="13"/>
      <c r="J11" s="13"/>
      <c r="K11" s="13"/>
      <c r="L11" s="13"/>
      <c r="M11" s="1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2:26" ht="15.6" x14ac:dyDescent="0.3">
      <c r="B12" s="39">
        <v>5</v>
      </c>
      <c r="C12" s="39">
        <v>12</v>
      </c>
      <c r="D12" s="44">
        <v>0.36583333333333334</v>
      </c>
      <c r="E12" s="44" t="s">
        <v>146</v>
      </c>
      <c r="F12" s="94" t="s">
        <v>74</v>
      </c>
      <c r="G12" s="39" t="s">
        <v>76</v>
      </c>
      <c r="H12" s="13"/>
      <c r="I12" s="13"/>
      <c r="J12" s="13"/>
      <c r="K12" s="13"/>
      <c r="L12" s="13"/>
      <c r="M12" s="1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2:26" ht="15.6" x14ac:dyDescent="0.3">
      <c r="B13" s="40">
        <v>6</v>
      </c>
      <c r="C13" s="39">
        <v>19</v>
      </c>
      <c r="D13" s="44">
        <v>0.38010416666666669</v>
      </c>
      <c r="E13" s="44" t="s">
        <v>146</v>
      </c>
      <c r="F13" s="45" t="s">
        <v>73</v>
      </c>
      <c r="G13" s="39" t="s">
        <v>76</v>
      </c>
      <c r="H13" s="13"/>
      <c r="I13" s="13"/>
      <c r="J13" s="13"/>
      <c r="K13" s="13"/>
      <c r="L13" s="13"/>
      <c r="M13" s="1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2:26" ht="15.6" x14ac:dyDescent="0.3">
      <c r="B14" s="39">
        <v>7</v>
      </c>
      <c r="C14" s="39">
        <v>21</v>
      </c>
      <c r="D14" s="44">
        <v>0.38263888888888886</v>
      </c>
      <c r="E14" s="44" t="s">
        <v>146</v>
      </c>
      <c r="F14" s="94" t="s">
        <v>74</v>
      </c>
      <c r="G14" s="39" t="s">
        <v>76</v>
      </c>
      <c r="H14" s="13"/>
      <c r="I14" s="13"/>
      <c r="J14" s="13"/>
      <c r="K14" s="13"/>
      <c r="L14" s="13"/>
      <c r="M14" s="1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2:26" ht="15.6" x14ac:dyDescent="0.3">
      <c r="B15" s="40">
        <v>8</v>
      </c>
      <c r="C15" s="39">
        <v>22</v>
      </c>
      <c r="D15" s="44">
        <v>0.38484953703703706</v>
      </c>
      <c r="E15" s="44" t="s">
        <v>146</v>
      </c>
      <c r="F15" s="94" t="s">
        <v>74</v>
      </c>
      <c r="G15" s="39" t="s">
        <v>76</v>
      </c>
      <c r="H15" s="13"/>
      <c r="I15" s="13"/>
      <c r="J15" s="13"/>
      <c r="K15" s="13"/>
      <c r="L15" s="13"/>
      <c r="M15" s="1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2:26" ht="15.6" x14ac:dyDescent="0.3">
      <c r="B16" s="39">
        <v>9</v>
      </c>
      <c r="C16" s="39">
        <v>24</v>
      </c>
      <c r="D16" s="44">
        <v>0.38831018518518517</v>
      </c>
      <c r="E16" s="44" t="s">
        <v>146</v>
      </c>
      <c r="F16" s="94" t="s">
        <v>74</v>
      </c>
      <c r="G16" s="39" t="s">
        <v>76</v>
      </c>
      <c r="H16" s="13"/>
      <c r="I16" s="13"/>
      <c r="J16" s="13"/>
      <c r="K16" s="13"/>
      <c r="L16" s="13"/>
      <c r="M16" s="1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2:26" ht="15.6" x14ac:dyDescent="0.3">
      <c r="B17" s="40">
        <v>10</v>
      </c>
      <c r="C17" s="40">
        <v>32</v>
      </c>
      <c r="D17" s="41">
        <v>0.41438657407407409</v>
      </c>
      <c r="E17" s="44" t="s">
        <v>146</v>
      </c>
      <c r="F17" s="46" t="s">
        <v>74</v>
      </c>
      <c r="G17" s="39" t="s">
        <v>76</v>
      </c>
      <c r="H17" s="13"/>
      <c r="I17" s="13"/>
      <c r="J17" s="13"/>
      <c r="K17" s="13"/>
      <c r="L17" s="13"/>
      <c r="M17" s="1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2:26" ht="15.6" x14ac:dyDescent="0.3"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2:26" ht="15.6" x14ac:dyDescent="0.3">
      <c r="B19" s="42" t="s">
        <v>5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2:26" ht="15.6" x14ac:dyDescent="0.3">
      <c r="B20" s="40" t="s">
        <v>75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2:26" ht="15.6" x14ac:dyDescent="0.3">
      <c r="B21" s="40" t="s">
        <v>76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2:26" ht="15.6" x14ac:dyDescent="0.3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2:26" ht="16.8" x14ac:dyDescent="0.3">
      <c r="B23" s="202" t="s">
        <v>83</v>
      </c>
      <c r="C23" s="202"/>
      <c r="D23" s="202"/>
      <c r="E23" s="202"/>
      <c r="F23" s="202"/>
      <c r="G23" s="13"/>
      <c r="H23" s="13"/>
      <c r="I23" s="13"/>
      <c r="J23" s="13"/>
      <c r="K23" s="13"/>
      <c r="L23" s="13"/>
      <c r="M23" s="1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2:26" ht="15.6" x14ac:dyDescent="0.3">
      <c r="B24" s="38" t="s">
        <v>14</v>
      </c>
      <c r="C24" s="43" t="s">
        <v>58</v>
      </c>
      <c r="D24" s="43" t="s">
        <v>79</v>
      </c>
      <c r="E24" s="43" t="s">
        <v>78</v>
      </c>
      <c r="F24" s="43" t="s">
        <v>84</v>
      </c>
      <c r="G24" s="13"/>
      <c r="H24" s="13"/>
      <c r="I24" s="13"/>
      <c r="J24" s="13"/>
      <c r="K24" s="13"/>
      <c r="L24" s="13"/>
      <c r="M24" s="1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2:26" ht="15.6" x14ac:dyDescent="0.3">
      <c r="B25" s="39">
        <v>1</v>
      </c>
      <c r="C25" s="39">
        <v>19</v>
      </c>
      <c r="D25" s="44" t="s">
        <v>81</v>
      </c>
      <c r="E25" s="39">
        <f>C25/38</f>
        <v>0.5</v>
      </c>
      <c r="F25" s="44" t="s">
        <v>86</v>
      </c>
      <c r="G25" s="13"/>
      <c r="H25" s="13"/>
      <c r="I25" s="13"/>
      <c r="J25" s="13"/>
      <c r="K25" s="13"/>
      <c r="L25" s="13"/>
      <c r="M25" s="1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2:26" ht="15.6" x14ac:dyDescent="0.3">
      <c r="B26" s="39">
        <v>2</v>
      </c>
      <c r="C26" s="39">
        <v>4</v>
      </c>
      <c r="D26" s="44" t="s">
        <v>80</v>
      </c>
      <c r="E26" s="39">
        <f>C26/38</f>
        <v>0.10526315789473684</v>
      </c>
      <c r="F26" s="44" t="s">
        <v>85</v>
      </c>
      <c r="G26" s="13"/>
      <c r="H26" s="13"/>
      <c r="I26" s="13"/>
      <c r="J26" s="13"/>
      <c r="K26" s="13"/>
      <c r="L26" s="13"/>
      <c r="M26" s="1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2:26" ht="15.6" x14ac:dyDescent="0.3">
      <c r="B27" s="39">
        <v>3</v>
      </c>
      <c r="C27" s="39">
        <v>15</v>
      </c>
      <c r="D27" s="44" t="s">
        <v>82</v>
      </c>
      <c r="E27" s="39">
        <f t="shared" ref="E27" si="0">C27/38</f>
        <v>0.39473684210526316</v>
      </c>
      <c r="F27" s="44" t="s">
        <v>87</v>
      </c>
      <c r="G27" s="13"/>
      <c r="H27" s="13"/>
      <c r="I27" s="13"/>
      <c r="J27" s="13"/>
      <c r="K27" s="13"/>
      <c r="L27" s="13"/>
      <c r="M27" s="1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26" ht="15.6" x14ac:dyDescent="0.3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2:26" ht="15.6" x14ac:dyDescent="0.3"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2:26" ht="15.6" x14ac:dyDescent="0.3"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2:26" ht="15.6" x14ac:dyDescent="0.3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spans="2:26" ht="15.6" x14ac:dyDescent="0.3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spans="2:13" ht="15.6" x14ac:dyDescent="0.3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</row>
    <row r="34" spans="2:13" x14ac:dyDescent="0.3"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2:13" x14ac:dyDescent="0.3"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</sheetData>
  <mergeCells count="11">
    <mergeCell ref="I9:J9"/>
    <mergeCell ref="I7:J7"/>
    <mergeCell ref="I8:J8"/>
    <mergeCell ref="F1:T2"/>
    <mergeCell ref="B23:F23"/>
    <mergeCell ref="B6:G6"/>
    <mergeCell ref="W4:Z4"/>
    <mergeCell ref="B3:G3"/>
    <mergeCell ref="B4:G4"/>
    <mergeCell ref="N4:R4"/>
    <mergeCell ref="S4:V4"/>
  </mergeCells>
  <dataValidations count="2">
    <dataValidation type="list" allowBlank="1" showInputMessage="1" showErrorMessage="1" sqref="R6:R30" xr:uid="{85871DAE-4906-4092-978E-19A654CA5EF5}">
      <formula1>$B$33:$B$34</formula1>
    </dataValidation>
    <dataValidation type="list" allowBlank="1" showInputMessage="1" showErrorMessage="1" sqref="G8:G17" xr:uid="{BE05E418-A9B7-4580-BDCC-10326ED5A815}">
      <formula1>$B$20:$B$21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Oktober 2025</vt:lpstr>
      <vt:lpstr>Data November 2025</vt:lpstr>
      <vt:lpstr>GG1</vt:lpstr>
      <vt:lpstr>GG1 (2)</vt:lpstr>
      <vt:lpstr>GG1 (3)</vt:lpstr>
      <vt:lpstr>Analisis Data</vt:lpstr>
      <vt:lpstr>Holt-Winters Data</vt:lpstr>
      <vt:lpstr>BEHAVIOR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.</dc:creator>
  <cp:lastModifiedBy>acer .</cp:lastModifiedBy>
  <cp:lastPrinted>2025-11-27T02:27:31Z</cp:lastPrinted>
  <dcterms:created xsi:type="dcterms:W3CDTF">2025-11-02T05:06:12Z</dcterms:created>
  <dcterms:modified xsi:type="dcterms:W3CDTF">2026-07-29T12:09:59Z</dcterms:modified>
</cp:coreProperties>
</file>